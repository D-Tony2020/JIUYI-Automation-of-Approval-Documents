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9040" windowHeight="15840" tabRatio="956" firstSheet="0" activeTab="0" autoFilterDateGrouping="1"/>
  </bookViews>
  <sheets>
    <sheet xmlns:r="http://schemas.openxmlformats.org/officeDocument/2006/relationships" name="封面" sheetId="1" state="visible" r:id="rId1"/>
    <sheet xmlns:r="http://schemas.openxmlformats.org/officeDocument/2006/relationships" name="承认书资料名细表" sheetId="2" state="visible" r:id="rId2"/>
    <sheet xmlns:r="http://schemas.openxmlformats.org/officeDocument/2006/relationships" name="1.送样承认书目录" sheetId="3" state="visible" r:id="rId3"/>
    <sheet xmlns:r="http://schemas.openxmlformats.org/officeDocument/2006/relationships" name="附表--承认之细则" sheetId="4" state="visible" r:id="rId4"/>
    <sheet xmlns:r="http://schemas.openxmlformats.org/officeDocument/2006/relationships" name="2.图纸（生久&amp;供应商）" sheetId="5" state="visible" r:id="rId5"/>
    <sheet xmlns:r="http://schemas.openxmlformats.org/officeDocument/2006/relationships" name="3.供应商部件承认书" sheetId="6" state="visible" r:id="rId6"/>
    <sheet xmlns:r="http://schemas.openxmlformats.org/officeDocument/2006/relationships" name="4.样品照片（多角度）" sheetId="7" state="visible" r:id="rId7"/>
    <sheet xmlns:r="http://schemas.openxmlformats.org/officeDocument/2006/relationships" name="5.供应商测试报告(FAI)" sheetId="8" state="visible" r:id="rId8"/>
    <sheet xmlns:r="http://schemas.openxmlformats.org/officeDocument/2006/relationships" name="6.信赖性测试报告" sheetId="9" state="visible" r:id="rId9"/>
    <sheet xmlns:r="http://schemas.openxmlformats.org/officeDocument/2006/relationships" name="7.材质成分展开表 " sheetId="10" state="visible" r:id="rId10"/>
    <sheet xmlns:r="http://schemas.openxmlformats.org/officeDocument/2006/relationships" name="8.材质证明书" sheetId="11" state="visible" r:id="rId11"/>
    <sheet xmlns:r="http://schemas.openxmlformats.org/officeDocument/2006/relationships" name="9.UL 证明" sheetId="12" state="visible" r:id="rId12"/>
    <sheet xmlns:r="http://schemas.openxmlformats.org/officeDocument/2006/relationships" name="10.车规级增加资料" sheetId="13" state="visible" r:id="rId13"/>
    <sheet xmlns:r="http://schemas.openxmlformats.org/officeDocument/2006/relationships" name="11.包装规范" sheetId="14" state="visible" r:id="rId14"/>
    <sheet xmlns:r="http://schemas.openxmlformats.org/officeDocument/2006/relationships" name="12.出货报告＆样品" sheetId="15" state="visible" r:id="rId15"/>
  </sheets>
  <definedNames>
    <definedName name="_xlnm.Print_Area" localSheetId="1">'承认书资料名细表'!$A$1:$D$25</definedName>
    <definedName name="_xlnm.Print_Area" localSheetId="9">'7.材质成分展开表 '!$A$1:$AD$49</definedName>
  </definedNames>
  <calcPr calcId="191029" fullCalcOnLoad="1"/>
</workbook>
</file>

<file path=xl/styles.xml><?xml version="1.0" encoding="utf-8"?>
<styleSheet xmlns="http://schemas.openxmlformats.org/spreadsheetml/2006/main">
  <numFmts count="2">
    <numFmt numFmtId="164" formatCode="0.0%"/>
    <numFmt numFmtId="165" formatCode="0.00_ "/>
  </numFmts>
  <fonts count="65">
    <font>
      <name val="新細明體"/>
      <charset val="136"/>
      <sz val="12"/>
    </font>
    <font>
      <name val="微软雅黑"/>
      <charset val="134"/>
      <sz val="12"/>
    </font>
    <font>
      <name val="微软雅黑"/>
      <charset val="134"/>
      <sz val="26"/>
    </font>
    <font>
      <name val="微软雅黑"/>
      <charset val="134"/>
      <sz val="18"/>
    </font>
    <font>
      <name val="微软雅黑"/>
      <charset val="134"/>
      <sz val="16"/>
    </font>
    <font>
      <name val="微软雅黑"/>
      <charset val="134"/>
      <sz val="14"/>
    </font>
    <font>
      <name val="微软雅黑"/>
      <charset val="134"/>
      <color theme="10"/>
      <sz val="12"/>
      <u val="single"/>
    </font>
    <font>
      <name val="楷体"/>
      <charset val="134"/>
      <sz val="10"/>
    </font>
    <font>
      <name val="楷体"/>
      <charset val="134"/>
      <sz val="12"/>
    </font>
    <font>
      <name val="楷体"/>
      <charset val="134"/>
      <b val="1"/>
      <sz val="26"/>
    </font>
    <font>
      <name val="楷体"/>
      <charset val="134"/>
      <b val="1"/>
      <sz val="10"/>
    </font>
    <font>
      <name val="楷体"/>
      <charset val="134"/>
      <b val="1"/>
      <color indexed="10"/>
      <sz val="10"/>
    </font>
    <font>
      <name val="楷体"/>
      <charset val="134"/>
      <color indexed="10"/>
      <sz val="12"/>
    </font>
    <font>
      <name val="楷体"/>
      <charset val="134"/>
      <sz val="8"/>
    </font>
    <font>
      <name val="楷体"/>
      <charset val="134"/>
      <b val="1"/>
      <sz val="12"/>
    </font>
    <font>
      <name val="新細明體"/>
      <charset val="136"/>
      <color theme="10"/>
      <sz val="12"/>
      <u val="single"/>
    </font>
    <font>
      <name val="楷体"/>
      <charset val="134"/>
      <color indexed="12"/>
      <sz val="10"/>
    </font>
    <font>
      <name val="楷体"/>
      <charset val="134"/>
      <b val="1"/>
      <color indexed="12"/>
      <sz val="10"/>
    </font>
    <font>
      <name val="楷体"/>
      <charset val="134"/>
      <sz val="11"/>
    </font>
    <font>
      <name val="楷体"/>
      <charset val="134"/>
      <color indexed="8"/>
      <sz val="12"/>
    </font>
    <font>
      <name val="楷体"/>
      <charset val="134"/>
      <color rgb="FF1F1A17"/>
      <sz val="11"/>
    </font>
    <font>
      <name val="楷体"/>
      <charset val="134"/>
      <b val="1"/>
      <sz val="20"/>
    </font>
    <font>
      <name val="微软雅黑"/>
      <charset val="134"/>
      <sz val="11"/>
    </font>
    <font>
      <name val="微软雅黑"/>
      <charset val="134"/>
      <sz val="10"/>
    </font>
    <font>
      <name val="微软雅黑"/>
      <charset val="134"/>
      <b val="1"/>
      <sz val="26"/>
    </font>
    <font>
      <name val="微软雅黑"/>
      <charset val="134"/>
      <color theme="1"/>
      <sz val="10"/>
    </font>
    <font>
      <name val="微软雅黑"/>
      <charset val="134"/>
      <b val="1"/>
      <sz val="10"/>
    </font>
    <font>
      <name val="微软雅黑"/>
      <charset val="134"/>
      <color indexed="12"/>
      <sz val="10"/>
    </font>
    <font>
      <name val="微软雅黑"/>
      <charset val="134"/>
      <b val="1"/>
      <sz val="9"/>
    </font>
    <font>
      <name val="宋体"/>
      <charset val="134"/>
      <sz val="11"/>
    </font>
    <font>
      <name val="微软雅黑"/>
      <charset val="134"/>
      <sz val="13"/>
    </font>
    <font>
      <name val="微软雅黑"/>
      <charset val="134"/>
      <b val="1"/>
      <sz val="12"/>
    </font>
    <font>
      <name val="宋体"/>
      <charset val="134"/>
      <color theme="1"/>
      <sz val="18"/>
      <scheme val="minor"/>
    </font>
    <font>
      <name val="宋体"/>
      <charset val="134"/>
      <color theme="1"/>
      <sz val="11"/>
      <scheme val="minor"/>
    </font>
    <font>
      <name val="微软雅黑"/>
      <charset val="134"/>
      <color theme="1"/>
      <sz val="11"/>
    </font>
    <font>
      <name val="微软雅黑"/>
      <charset val="134"/>
      <color theme="1"/>
      <sz val="18"/>
    </font>
    <font>
      <name val="微软雅黑"/>
      <charset val="134"/>
      <b val="1"/>
      <sz val="24"/>
    </font>
    <font>
      <name val="微软雅黑"/>
      <charset val="134"/>
      <b val="1"/>
      <sz val="16"/>
    </font>
    <font>
      <name val="微软雅黑"/>
      <charset val="134"/>
      <b val="1"/>
      <sz val="20"/>
    </font>
    <font>
      <name val="微软雅黑"/>
      <charset val="134"/>
      <sz val="35"/>
    </font>
    <font>
      <name val="微软雅黑"/>
      <charset val="134"/>
      <sz val="28"/>
    </font>
    <font>
      <name val="微软雅黑"/>
      <charset val="134"/>
      <sz val="20"/>
    </font>
    <font>
      <name val="微软雅黑"/>
      <charset val="134"/>
      <b val="1"/>
      <i val="1"/>
      <sz val="12"/>
      <u val="single"/>
    </font>
    <font>
      <name val="微软雅黑"/>
      <charset val="134"/>
      <sz val="14"/>
      <u val="single"/>
    </font>
    <font>
      <name val="宋体"/>
      <charset val="134"/>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新細明體"/>
      <charset val="134"/>
      <sz val="12"/>
    </font>
    <font>
      <name val="Times New Roman"/>
      <charset val="134"/>
      <sz val="12"/>
    </font>
  </fonts>
  <fills count="35">
    <fill>
      <patternFill/>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right/>
      <top style="medium">
        <color auto="1"/>
      </top>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style="double">
        <color auto="1"/>
      </left>
      <right style="double">
        <color auto="1"/>
      </right>
      <top style="double">
        <color auto="1"/>
      </top>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s>
  <cellStyleXfs count="51">
    <xf numFmtId="0" fontId="0" fillId="0" borderId="0"/>
    <xf numFmtId="43" fontId="44" fillId="0" borderId="0" applyAlignment="1">
      <alignment vertical="center"/>
    </xf>
    <xf numFmtId="44" fontId="44" fillId="0" borderId="0" applyAlignment="1">
      <alignment vertical="center"/>
    </xf>
    <xf numFmtId="9" fontId="44" fillId="0" borderId="0" applyAlignment="1">
      <alignment vertical="center"/>
    </xf>
    <xf numFmtId="41" fontId="44" fillId="0" borderId="0" applyAlignment="1">
      <alignment vertical="center"/>
    </xf>
    <xf numFmtId="42" fontId="44" fillId="0" borderId="0" applyAlignment="1">
      <alignment vertical="center"/>
    </xf>
    <xf numFmtId="0" fontId="15" fillId="0" borderId="0" applyAlignment="1" applyProtection="1">
      <alignment vertical="top"/>
      <protection locked="0" hidden="0"/>
    </xf>
    <xf numFmtId="0" fontId="45" fillId="0" borderId="0" applyAlignment="1">
      <alignment vertical="center"/>
    </xf>
    <xf numFmtId="0" fontId="44" fillId="4" borderId="41" applyAlignment="1">
      <alignment vertical="center"/>
    </xf>
    <xf numFmtId="0" fontId="46" fillId="0" borderId="0" applyAlignment="1">
      <alignment vertical="center"/>
    </xf>
    <xf numFmtId="0" fontId="47" fillId="0" borderId="0" applyAlignment="1">
      <alignment vertical="center"/>
    </xf>
    <xf numFmtId="0" fontId="48" fillId="0" borderId="0" applyAlignment="1">
      <alignment vertical="center"/>
    </xf>
    <xf numFmtId="0" fontId="49" fillId="0" borderId="42" applyAlignment="1">
      <alignment vertical="center"/>
    </xf>
    <xf numFmtId="0" fontId="50" fillId="0" borderId="42" applyAlignment="1">
      <alignment vertical="center"/>
    </xf>
    <xf numFmtId="0" fontId="51" fillId="0" borderId="43" applyAlignment="1">
      <alignment vertical="center"/>
    </xf>
    <xf numFmtId="0" fontId="51" fillId="0" borderId="0" applyAlignment="1">
      <alignment vertical="center"/>
    </xf>
    <xf numFmtId="0" fontId="52" fillId="5" borderId="44" applyAlignment="1">
      <alignment vertical="center"/>
    </xf>
    <xf numFmtId="0" fontId="53" fillId="6" borderId="45" applyAlignment="1">
      <alignment vertical="center"/>
    </xf>
    <xf numFmtId="0" fontId="54" fillId="6" borderId="44" applyAlignment="1">
      <alignment vertical="center"/>
    </xf>
    <xf numFmtId="0" fontId="55" fillId="7" borderId="46" applyAlignment="1">
      <alignment vertical="center"/>
    </xf>
    <xf numFmtId="0" fontId="56" fillId="0" borderId="47" applyAlignment="1">
      <alignment vertical="center"/>
    </xf>
    <xf numFmtId="0" fontId="57" fillId="0" borderId="48" applyAlignment="1">
      <alignment vertical="center"/>
    </xf>
    <xf numFmtId="0" fontId="58" fillId="8" borderId="0" applyAlignment="1">
      <alignment vertical="center"/>
    </xf>
    <xf numFmtId="0" fontId="59" fillId="9" borderId="0" applyAlignment="1">
      <alignment vertical="center"/>
    </xf>
    <xf numFmtId="0" fontId="60" fillId="10" borderId="0" applyAlignment="1">
      <alignment vertical="center"/>
    </xf>
    <xf numFmtId="0" fontId="61" fillId="11" borderId="0" applyAlignment="1">
      <alignment vertical="center"/>
    </xf>
    <xf numFmtId="0" fontId="62" fillId="12" borderId="0" applyAlignment="1">
      <alignment vertical="center"/>
    </xf>
    <xf numFmtId="0" fontId="62" fillId="13" borderId="0" applyAlignment="1">
      <alignment vertical="center"/>
    </xf>
    <xf numFmtId="0" fontId="61" fillId="14" borderId="0" applyAlignment="1">
      <alignment vertical="center"/>
    </xf>
    <xf numFmtId="0" fontId="61" fillId="15" borderId="0" applyAlignment="1">
      <alignment vertical="center"/>
    </xf>
    <xf numFmtId="0" fontId="62" fillId="16" borderId="0" applyAlignment="1">
      <alignment vertical="center"/>
    </xf>
    <xf numFmtId="0" fontId="62" fillId="17" borderId="0" applyAlignment="1">
      <alignment vertical="center"/>
    </xf>
    <xf numFmtId="0" fontId="61" fillId="18" borderId="0" applyAlignment="1">
      <alignment vertical="center"/>
    </xf>
    <xf numFmtId="0" fontId="61" fillId="19" borderId="0" applyAlignment="1">
      <alignment vertical="center"/>
    </xf>
    <xf numFmtId="0" fontId="62" fillId="20" borderId="0" applyAlignment="1">
      <alignment vertical="center"/>
    </xf>
    <xf numFmtId="0" fontId="62" fillId="21" borderId="0" applyAlignment="1">
      <alignment vertical="center"/>
    </xf>
    <xf numFmtId="0" fontId="61" fillId="22" borderId="0" applyAlignment="1">
      <alignment vertical="center"/>
    </xf>
    <xf numFmtId="0" fontId="61" fillId="23" borderId="0" applyAlignment="1">
      <alignment vertical="center"/>
    </xf>
    <xf numFmtId="0" fontId="62" fillId="24" borderId="0" applyAlignment="1">
      <alignment vertical="center"/>
    </xf>
    <xf numFmtId="0" fontId="62" fillId="25" borderId="0" applyAlignment="1">
      <alignment vertical="center"/>
    </xf>
    <xf numFmtId="0" fontId="61" fillId="26" borderId="0" applyAlignment="1">
      <alignment vertical="center"/>
    </xf>
    <xf numFmtId="0" fontId="61" fillId="27" borderId="0" applyAlignment="1">
      <alignment vertical="center"/>
    </xf>
    <xf numFmtId="0" fontId="62" fillId="28" borderId="0" applyAlignment="1">
      <alignment vertical="center"/>
    </xf>
    <xf numFmtId="0" fontId="62" fillId="29" borderId="0" applyAlignment="1">
      <alignment vertical="center"/>
    </xf>
    <xf numFmtId="0" fontId="61" fillId="30" borderId="0" applyAlignment="1">
      <alignment vertical="center"/>
    </xf>
    <xf numFmtId="0" fontId="61" fillId="31" borderId="0" applyAlignment="1">
      <alignment vertical="center"/>
    </xf>
    <xf numFmtId="0" fontId="62" fillId="32" borderId="0" applyAlignment="1">
      <alignment vertical="center"/>
    </xf>
    <xf numFmtId="0" fontId="62" fillId="33" borderId="0" applyAlignment="1">
      <alignment vertical="center"/>
    </xf>
    <xf numFmtId="0" fontId="61" fillId="34" borderId="0" applyAlignment="1">
      <alignment vertical="center"/>
    </xf>
    <xf numFmtId="0" fontId="63" fillId="0" borderId="0"/>
    <xf numFmtId="0" fontId="64" fillId="0" borderId="0"/>
  </cellStyleXfs>
  <cellXfs count="350">
    <xf numFmtId="0" fontId="0" fillId="0" borderId="0" applyAlignment="1" pivotButton="0" quotePrefix="0" xfId="0">
      <alignment vertical="center"/>
    </xf>
    <xf numFmtId="0" fontId="1" fillId="2" borderId="0" pivotButton="0" quotePrefix="0" xfId="0"/>
    <xf numFmtId="0" fontId="1" fillId="2" borderId="1" pivotButton="0" quotePrefix="0" xfId="0"/>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2" fillId="2" borderId="0" applyAlignment="1" pivotButton="0" quotePrefix="0" xfId="0">
      <alignment horizontal="center" vertical="center"/>
    </xf>
    <xf numFmtId="0" fontId="3" fillId="2" borderId="0" applyAlignment="1" pivotButton="0" quotePrefix="0" xfId="0">
      <alignment horizontal="center"/>
    </xf>
    <xf numFmtId="0" fontId="4" fillId="2" borderId="0" applyAlignment="1" pivotButton="0" quotePrefix="0" xfId="0">
      <alignment vertical="center"/>
    </xf>
    <xf numFmtId="0" fontId="4" fillId="2" borderId="0" applyAlignment="1" pivotButton="0" quotePrefix="0" xfId="0">
      <alignment horizontal="left" vertical="center" wrapText="1"/>
    </xf>
    <xf numFmtId="0" fontId="4" fillId="2" borderId="5" applyAlignment="1" pivotButton="0" quotePrefix="0" xfId="0">
      <alignment horizontal="left" vertical="center" wrapText="1"/>
    </xf>
    <xf numFmtId="0" fontId="4" fillId="2" borderId="0" pivotButton="0" quotePrefix="0" xfId="0"/>
    <xf numFmtId="0" fontId="5" fillId="2" borderId="0" applyAlignment="1" pivotButton="0" quotePrefix="0" xfId="0">
      <alignment horizontal="center"/>
    </xf>
    <xf numFmtId="0" fontId="4" fillId="2" borderId="0" applyAlignment="1" pivotButton="0" quotePrefix="0" xfId="0">
      <alignment horizontal="center"/>
    </xf>
    <xf numFmtId="0" fontId="6" fillId="2" borderId="0" applyAlignment="1" pivotButton="0" quotePrefix="0" xfId="6">
      <alignment horizontal="center"/>
    </xf>
    <xf numFmtId="0" fontId="1" fillId="2" borderId="0" applyAlignment="1" pivotButton="0" quotePrefix="0" xfId="0">
      <alignment horizontal="center"/>
    </xf>
    <xf numFmtId="0" fontId="1" fillId="2" borderId="6" pivotButton="0" quotePrefix="0" xfId="0"/>
    <xf numFmtId="0" fontId="1" fillId="2" borderId="7" pivotButton="0" quotePrefix="0" xfId="0"/>
    <xf numFmtId="0" fontId="1" fillId="2" borderId="8" pivotButton="0" quotePrefix="0" xfId="0"/>
    <xf numFmtId="0" fontId="4" fillId="2" borderId="0" applyAlignment="1" pivotButton="0" quotePrefix="0" xfId="0">
      <alignment horizontal="left"/>
    </xf>
    <xf numFmtId="0" fontId="7" fillId="0" borderId="0"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horizontal="left" vertical="center"/>
    </xf>
    <xf numFmtId="0" fontId="8" fillId="0" borderId="0" applyAlignment="1" pivotButton="0" quotePrefix="0" xfId="0">
      <alignment vertical="center"/>
    </xf>
    <xf numFmtId="0" fontId="8" fillId="0" borderId="0" applyAlignment="1" pivotButton="0" quotePrefix="0" xfId="0">
      <alignment vertical="center" shrinkToFit="1"/>
    </xf>
    <xf numFmtId="0" fontId="9" fillId="0" borderId="0" applyAlignment="1" pivotButton="0" quotePrefix="0" xfId="0">
      <alignment horizontal="center"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0" fillId="0" borderId="11" applyAlignment="1" pivotButton="0" quotePrefix="0" xfId="0">
      <alignment horizontal="left" vertical="center"/>
    </xf>
    <xf numFmtId="0" fontId="11" fillId="0" borderId="12" applyAlignment="1" pivotButton="0" quotePrefix="0" xfId="0">
      <alignment horizontal="left" vertical="center"/>
    </xf>
    <xf numFmtId="0" fontId="8" fillId="0" borderId="12" applyAlignment="1" pivotButton="0" quotePrefix="0" xfId="0">
      <alignment vertical="center"/>
    </xf>
    <xf numFmtId="0" fontId="12" fillId="0" borderId="13" applyAlignment="1" pivotButton="0" quotePrefix="0" xfId="0">
      <alignment horizontal="center" vertical="center" wrapText="1"/>
    </xf>
    <xf numFmtId="0" fontId="10" fillId="0" borderId="14" applyAlignment="1" pivotButton="0" quotePrefix="0" xfId="0">
      <alignment horizontal="left" vertical="center"/>
    </xf>
    <xf numFmtId="0" fontId="10" fillId="0" borderId="15" applyAlignment="1" pivotButton="0" quotePrefix="0" xfId="0">
      <alignment horizontal="left" vertical="center"/>
    </xf>
    <xf numFmtId="0" fontId="10" fillId="0" borderId="16" applyAlignment="1" pivotButton="0" quotePrefix="0" xfId="0">
      <alignment horizontal="left" vertical="center"/>
    </xf>
    <xf numFmtId="0" fontId="10" fillId="0" borderId="17" applyAlignment="1" pivotButton="0" quotePrefix="0" xfId="0">
      <alignment horizontal="left" vertical="center"/>
    </xf>
    <xf numFmtId="0" fontId="10" fillId="0" borderId="0" applyAlignment="1" pivotButton="0" quotePrefix="0" xfId="0">
      <alignment horizontal="left" vertical="center"/>
    </xf>
    <xf numFmtId="0" fontId="12" fillId="0" borderId="18" applyAlignment="1" pivotButton="0" quotePrefix="0" xfId="0">
      <alignment horizontal="center" vertical="center" wrapText="1"/>
    </xf>
    <xf numFmtId="0" fontId="8" fillId="0" borderId="12" applyAlignment="1" pivotButton="0" quotePrefix="0" xfId="0">
      <alignment horizontal="left" vertical="center"/>
    </xf>
    <xf numFmtId="0" fontId="12" fillId="0" borderId="12"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2" fillId="0" borderId="12" applyAlignment="1" pivotButton="0" quotePrefix="0" xfId="0">
      <alignment vertical="center" wrapText="1"/>
    </xf>
    <xf numFmtId="0" fontId="10" fillId="0" borderId="12" applyAlignment="1" pivotButton="0" quotePrefix="0" xfId="0">
      <alignment horizontal="left" vertical="center" wrapText="1"/>
    </xf>
    <xf numFmtId="0" fontId="10" fillId="0" borderId="19" applyAlignment="1" pivotButton="0" quotePrefix="0" xfId="0">
      <alignment horizontal="center" vertical="center"/>
    </xf>
    <xf numFmtId="0" fontId="10" fillId="0" borderId="20" applyAlignment="1" pivotButton="0" quotePrefix="0" xfId="0">
      <alignment horizontal="center" vertical="center"/>
    </xf>
    <xf numFmtId="0" fontId="8" fillId="0" borderId="20" applyAlignment="1" pivotButton="0" quotePrefix="0" xfId="0">
      <alignment vertical="center"/>
    </xf>
    <xf numFmtId="0" fontId="13" fillId="0" borderId="12" applyAlignment="1" pivotButton="0" quotePrefix="0" xfId="0">
      <alignment horizontal="center" vertical="center" shrinkToFit="1"/>
    </xf>
    <xf numFmtId="0" fontId="7" fillId="0" borderId="12" applyAlignment="1" pivotButton="0" quotePrefix="0" xfId="0">
      <alignment horizontal="center" vertical="center"/>
    </xf>
    <xf numFmtId="0" fontId="8" fillId="0" borderId="12" applyAlignment="1" pivotButton="0" quotePrefix="0" xfId="0">
      <alignment horizontal="center" vertical="center"/>
    </xf>
    <xf numFmtId="0" fontId="14" fillId="0" borderId="12" applyAlignment="1" pivotButton="0" quotePrefix="0" xfId="0">
      <alignment horizontal="center" vertical="center"/>
    </xf>
    <xf numFmtId="0" fontId="15" fillId="0" borderId="14" applyAlignment="1" pivotButton="0" quotePrefix="0" xfId="6">
      <alignment horizontal="center" vertical="center"/>
    </xf>
    <xf numFmtId="0" fontId="10" fillId="0" borderId="15" applyAlignment="1" pivotButton="0" quotePrefix="0" xfId="0">
      <alignment horizontal="center" vertical="center"/>
    </xf>
    <xf numFmtId="0" fontId="8" fillId="0" borderId="15" applyAlignment="1" pivotButton="0" quotePrefix="0" xfId="0">
      <alignment vertical="center"/>
    </xf>
    <xf numFmtId="0" fontId="10" fillId="0" borderId="12" applyAlignment="1" pivotButton="0" quotePrefix="0" xfId="0">
      <alignment horizontal="center" vertical="center"/>
    </xf>
    <xf numFmtId="0" fontId="10" fillId="0" borderId="18" applyAlignment="1" pivotButton="0" quotePrefix="0" xfId="0">
      <alignment horizontal="center" vertical="center"/>
    </xf>
    <xf numFmtId="0" fontId="7" fillId="0" borderId="14" applyAlignment="1" pivotButton="0" quotePrefix="0" xfId="0">
      <alignment horizontal="center" vertical="center" wrapText="1"/>
    </xf>
    <xf numFmtId="0" fontId="8" fillId="0" borderId="15" applyAlignment="1" pivotButton="0" quotePrefix="0" xfId="0">
      <alignment horizontal="center" vertical="center"/>
    </xf>
    <xf numFmtId="0" fontId="16" fillId="0" borderId="12" applyAlignment="1" pivotButton="0" quotePrefix="0" xfId="0">
      <alignment horizontal="center" vertical="center" wrapText="1"/>
    </xf>
    <xf numFmtId="0" fontId="7" fillId="0" borderId="12" applyAlignment="1" pivotButton="0" quotePrefix="0" xfId="0">
      <alignment horizontal="center" vertical="center" wrapText="1"/>
    </xf>
    <xf numFmtId="0" fontId="8" fillId="0" borderId="19" applyAlignment="1" pivotButton="0" quotePrefix="0" xfId="0">
      <alignment horizontal="center" vertical="center"/>
    </xf>
    <xf numFmtId="0" fontId="8" fillId="0" borderId="20" applyAlignment="1" pivotButton="0" quotePrefix="0" xfId="0">
      <alignment horizontal="center" vertical="center"/>
    </xf>
    <xf numFmtId="0" fontId="7" fillId="0" borderId="9"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18" applyAlignment="1" pivotButton="0" quotePrefix="0" xfId="0">
      <alignment horizontal="center" vertical="center" wrapText="1"/>
    </xf>
    <xf numFmtId="0" fontId="16" fillId="0" borderId="12" applyAlignment="1" pivotButton="0" quotePrefix="0" xfId="0">
      <alignment horizontal="center" vertical="center" shrinkToFit="1"/>
    </xf>
    <xf numFmtId="0" fontId="16" fillId="0" borderId="18" applyAlignment="1" pivotButton="0" quotePrefix="0" xfId="0">
      <alignment horizontal="center" vertical="center" wrapText="1"/>
    </xf>
    <xf numFmtId="0" fontId="17" fillId="0" borderId="18" applyAlignment="1" pivotButton="0" quotePrefix="0" xfId="0">
      <alignment horizontal="center" vertical="center" wrapText="1"/>
    </xf>
    <xf numFmtId="0" fontId="7" fillId="0" borderId="18" applyAlignment="1" pivotButton="0" quotePrefix="0" xfId="0">
      <alignment horizontal="center" vertical="center" shrinkToFit="1"/>
    </xf>
    <xf numFmtId="0" fontId="10" fillId="0" borderId="21" applyAlignment="1" pivotButton="0" quotePrefix="0" xfId="0">
      <alignment horizontal="center" vertical="center" wrapText="1"/>
    </xf>
    <xf numFmtId="0" fontId="8" fillId="0" borderId="13" applyAlignment="1" pivotButton="0" quotePrefix="0" xfId="0">
      <alignment horizontal="center" vertical="center"/>
    </xf>
    <xf numFmtId="0" fontId="8" fillId="0" borderId="12" applyAlignment="1" pivotButton="0" quotePrefix="0" xfId="0">
      <alignment vertical="center" shrinkToFit="1"/>
    </xf>
    <xf numFmtId="10" fontId="8" fillId="0" borderId="12" applyAlignment="1" pivotButton="0" quotePrefix="0" xfId="0">
      <alignment vertical="center"/>
    </xf>
    <xf numFmtId="0" fontId="8" fillId="0" borderId="22" applyAlignment="1" pivotButton="0" quotePrefix="0" xfId="0">
      <alignment horizontal="center" vertical="center"/>
    </xf>
    <xf numFmtId="0" fontId="8" fillId="0" borderId="18" applyAlignment="1" pivotButton="0" quotePrefix="0" xfId="0">
      <alignment horizontal="center" vertical="center"/>
    </xf>
    <xf numFmtId="0" fontId="18" fillId="0" borderId="12" applyAlignment="1" pivotButton="0" quotePrefix="0" xfId="0">
      <alignment vertical="center" wrapText="1" shrinkToFit="1"/>
    </xf>
    <xf numFmtId="0" fontId="7" fillId="0" borderId="12" applyAlignment="1" pivotButton="0" quotePrefix="0" xfId="0">
      <alignment vertical="center" shrinkToFit="1"/>
    </xf>
    <xf numFmtId="0" fontId="8" fillId="0" borderId="9" applyAlignment="1" pivotButton="0" quotePrefix="0" xfId="0">
      <alignment horizontal="center" vertical="center"/>
    </xf>
    <xf numFmtId="0" fontId="8" fillId="0" borderId="11" applyAlignment="1" pivotButton="0" quotePrefix="0" xfId="0">
      <alignment horizontal="center" vertical="center" shrinkToFit="1"/>
    </xf>
    <xf numFmtId="0" fontId="8" fillId="0" borderId="12" applyAlignment="1" pivotButton="0" quotePrefix="0" xfId="0">
      <alignment horizontal="center" vertical="center" shrinkToFit="1"/>
    </xf>
    <xf numFmtId="0" fontId="8" fillId="0" borderId="13" applyAlignment="1" pivotButton="0" quotePrefix="0" xfId="0">
      <alignment horizontal="center" vertical="center"/>
    </xf>
    <xf numFmtId="10" fontId="8" fillId="0" borderId="12" applyAlignment="1" pivotButton="0" quotePrefix="0" xfId="0">
      <alignment horizontal="center" vertical="center"/>
    </xf>
    <xf numFmtId="14" fontId="8" fillId="0" borderId="13"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xf>
    <xf numFmtId="14" fontId="8" fillId="0" borderId="22" applyAlignment="1" pivotButton="0" quotePrefix="0" xfId="0">
      <alignment horizontal="center" vertical="center"/>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xf>
    <xf numFmtId="14" fontId="8" fillId="0" borderId="18" applyAlignment="1" pivotButton="0" quotePrefix="0" xfId="0">
      <alignment horizontal="center" vertical="center"/>
    </xf>
    <xf numFmtId="0" fontId="8" fillId="0" borderId="18" applyAlignment="1" pivotButton="0" quotePrefix="0" xfId="0">
      <alignment horizontal="center" vertical="center" shrinkToFit="1"/>
    </xf>
    <xf numFmtId="0" fontId="8" fillId="0" borderId="11" applyAlignment="1" pivotButton="0" quotePrefix="0" xfId="0">
      <alignment vertical="center" shrinkToFit="1"/>
    </xf>
    <xf numFmtId="0" fontId="8" fillId="0" borderId="12" applyAlignment="1" pivotButton="0" quotePrefix="0" xfId="0">
      <alignment horizontal="center" vertical="center" shrinkToFit="1"/>
    </xf>
    <xf numFmtId="9" fontId="8" fillId="0" borderId="12"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shrinkToFit="1"/>
    </xf>
    <xf numFmtId="10" fontId="8" fillId="0" borderId="12" applyAlignment="1" pivotButton="0" quotePrefix="0" xfId="0">
      <alignment horizontal="center" vertical="center"/>
    </xf>
    <xf numFmtId="0" fontId="19" fillId="0" borderId="13"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2" applyAlignment="1" pivotButton="0" quotePrefix="0" xfId="0">
      <alignment vertical="center" wrapText="1"/>
    </xf>
    <xf numFmtId="0" fontId="20" fillId="0" borderId="0" applyAlignment="1" pivotButton="0" quotePrefix="0" xfId="0">
      <alignment vertical="center" shrinkToFit="1"/>
    </xf>
    <xf numFmtId="0" fontId="19" fillId="0" borderId="18" applyAlignment="1" pivotButton="0" quotePrefix="0" xfId="0">
      <alignment horizontal="center" vertical="center" wrapText="1"/>
    </xf>
    <xf numFmtId="0" fontId="8" fillId="0" borderId="18" applyAlignment="1" pivotButton="0" quotePrefix="0" xfId="0">
      <alignment horizontal="center" vertical="center" wrapText="1"/>
    </xf>
    <xf numFmtId="0" fontId="8" fillId="0" borderId="14" applyAlignment="1" pivotButton="0" quotePrefix="0" xfId="0">
      <alignment horizontal="center" vertical="center"/>
    </xf>
    <xf numFmtId="164" fontId="8" fillId="0" borderId="12" applyAlignment="1" pivotButton="0" quotePrefix="0" xfId="49">
      <alignment horizontal="center" vertical="center"/>
    </xf>
    <xf numFmtId="0" fontId="7" fillId="0" borderId="9" applyAlignment="1" pivotButton="0" quotePrefix="0" xfId="0">
      <alignment horizontal="right" vertical="top" wrapText="1"/>
    </xf>
    <xf numFmtId="0" fontId="7" fillId="0" borderId="10" applyAlignment="1" pivotButton="0" quotePrefix="0" xfId="0">
      <alignment horizontal="right" vertical="top" wrapText="1"/>
    </xf>
    <xf numFmtId="0" fontId="7" fillId="0" borderId="11" applyAlignment="1" pivotButton="0" quotePrefix="0" xfId="0">
      <alignment horizontal="right" vertical="top" wrapText="1"/>
    </xf>
    <xf numFmtId="0" fontId="21" fillId="0" borderId="12" applyAlignment="1" pivotButton="0" quotePrefix="0" xfId="0">
      <alignment horizontal="center" vertical="center"/>
    </xf>
    <xf numFmtId="0" fontId="22" fillId="0" borderId="0" applyAlignment="1" pivotButton="0" quotePrefix="0" xfId="0">
      <alignment vertical="center"/>
    </xf>
    <xf numFmtId="0" fontId="23" fillId="0" borderId="0" applyAlignment="1" pivotButton="0" quotePrefix="0" xfId="0">
      <alignment vertical="center"/>
    </xf>
    <xf numFmtId="0" fontId="23" fillId="0" borderId="0" applyAlignment="1" pivotButton="0" quotePrefix="0" xfId="0">
      <alignment horizontal="center" vertical="center"/>
    </xf>
    <xf numFmtId="0" fontId="24" fillId="0" borderId="0" applyAlignment="1" pivotButton="0" quotePrefix="0" xfId="0">
      <alignment horizontal="center" vertical="center"/>
    </xf>
    <xf numFmtId="0" fontId="25"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horizontal="left"/>
    </xf>
    <xf numFmtId="0" fontId="25" fillId="0" borderId="0" applyAlignment="1" applyProtection="1" pivotButton="0" quotePrefix="0" xfId="0">
      <alignment horizontal="left" vertical="center"/>
      <protection locked="0" hidden="0"/>
    </xf>
    <xf numFmtId="0" fontId="25" fillId="0" borderId="0" applyAlignment="1" pivotButton="0" quotePrefix="0" xfId="0">
      <alignment horizontal="center" vertical="center" textRotation="90"/>
    </xf>
    <xf numFmtId="0" fontId="25" fillId="0" borderId="0" applyAlignment="1" pivotButton="0" quotePrefix="0" xfId="0">
      <alignment vertical="center"/>
    </xf>
    <xf numFmtId="0" fontId="25" fillId="0" borderId="0" applyAlignment="1" applyProtection="1" pivotButton="0" quotePrefix="0" xfId="0">
      <alignment vertical="center"/>
      <protection locked="0" hidden="0"/>
    </xf>
    <xf numFmtId="0" fontId="25" fillId="0" borderId="23" applyAlignment="1" applyProtection="1" pivotButton="0" quotePrefix="0" xfId="0">
      <alignment horizontal="center" vertical="center"/>
      <protection locked="0" hidden="0"/>
    </xf>
    <xf numFmtId="0" fontId="25" fillId="0" borderId="23" applyAlignment="1" applyProtection="1" pivotButton="0" quotePrefix="0" xfId="0">
      <alignment horizontal="left" vertical="center"/>
      <protection locked="0" hidden="0"/>
    </xf>
    <xf numFmtId="0" fontId="26" fillId="0" borderId="24" applyAlignment="1" pivotButton="0" quotePrefix="0" xfId="0">
      <alignment horizontal="center" vertical="center" wrapText="1"/>
    </xf>
    <xf numFmtId="0" fontId="26" fillId="0" borderId="25" applyAlignment="1" pivotButton="0" quotePrefix="0" xfId="0">
      <alignment horizontal="center" vertical="center" wrapText="1"/>
    </xf>
    <xf numFmtId="0" fontId="26" fillId="0" borderId="26" applyAlignment="1" pivotButton="0" quotePrefix="0" xfId="0">
      <alignment horizontal="center" vertical="center" wrapText="1"/>
    </xf>
    <xf numFmtId="0" fontId="23" fillId="0" borderId="24"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7" applyAlignment="1" pivotButton="0" quotePrefix="0" xfId="0">
      <alignment horizontal="center" vertical="center" wrapText="1"/>
    </xf>
    <xf numFmtId="0" fontId="26" fillId="0" borderId="28" applyAlignment="1" pivotButton="0" quotePrefix="0" xfId="0">
      <alignment horizontal="center" vertical="center"/>
    </xf>
    <xf numFmtId="0" fontId="26" fillId="0" borderId="29"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9" applyAlignment="1" pivotButton="0" quotePrefix="0" xfId="0">
      <alignment horizontal="center" vertical="center" wrapText="1"/>
    </xf>
    <xf numFmtId="0" fontId="23" fillId="0" borderId="29" applyAlignment="1" pivotButton="0" quotePrefix="0" xfId="0">
      <alignment horizontal="center" vertical="center" wrapText="1"/>
    </xf>
    <xf numFmtId="0" fontId="23" fillId="0" borderId="12" applyAlignment="1" pivotButton="0" quotePrefix="0" xfId="0">
      <alignment horizontal="center" vertical="center" wrapText="1"/>
    </xf>
    <xf numFmtId="0" fontId="23" fillId="0" borderId="30" applyAlignment="1" pivotButton="0" quotePrefix="0" xfId="0">
      <alignment horizontal="center" vertical="center" wrapText="1"/>
    </xf>
    <xf numFmtId="0" fontId="27" fillId="0" borderId="10" applyAlignment="1" pivotButton="0" quotePrefix="0" xfId="0">
      <alignment horizontal="center" vertical="center"/>
    </xf>
    <xf numFmtId="0" fontId="23" fillId="0" borderId="9" applyAlignment="1" pivotButton="0" quotePrefix="0" xfId="0">
      <alignment horizontal="center" vertical="center" wrapText="1"/>
    </xf>
    <xf numFmtId="0" fontId="28" fillId="0" borderId="29" applyAlignment="1" pivotButton="0" quotePrefix="0" xfId="0">
      <alignment horizontal="center" vertical="center"/>
    </xf>
    <xf numFmtId="0" fontId="28" fillId="0" borderId="12" applyAlignment="1" pivotButton="0" quotePrefix="0" xfId="0">
      <alignment horizontal="center" vertical="center"/>
    </xf>
    <xf numFmtId="0" fontId="26" fillId="0" borderId="12" applyAlignment="1" pivotButton="0" quotePrefix="0" xfId="0">
      <alignment horizontal="center" vertical="center"/>
    </xf>
    <xf numFmtId="0" fontId="26" fillId="0" borderId="30" applyAlignment="1" pivotButton="0" quotePrefix="0" xfId="0">
      <alignment horizontal="center" vertical="center"/>
    </xf>
    <xf numFmtId="0" fontId="23" fillId="0" borderId="11" applyAlignment="1" pivotButton="0" quotePrefix="0" xfId="0">
      <alignment horizontal="center" vertical="center"/>
    </xf>
    <xf numFmtId="0" fontId="23" fillId="0" borderId="12" applyAlignment="1" pivotButton="0" quotePrefix="0" xfId="0">
      <alignment horizontal="center" vertical="center"/>
    </xf>
    <xf numFmtId="0" fontId="23" fillId="0" borderId="30" applyAlignment="1" pivotButton="0" quotePrefix="0" xfId="0">
      <alignment horizontal="center" vertical="center"/>
    </xf>
    <xf numFmtId="0" fontId="23" fillId="0" borderId="11" applyAlignment="1" pivotButton="0" quotePrefix="0" xfId="0">
      <alignment horizontal="center" vertical="center" wrapText="1"/>
    </xf>
    <xf numFmtId="0" fontId="23" fillId="0" borderId="29" applyAlignment="1" pivotButton="0" quotePrefix="0" xfId="0">
      <alignment horizontal="center" vertical="center"/>
    </xf>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0" fontId="23" fillId="0" borderId="30" applyAlignment="1" pivotButton="0" quotePrefix="0" xfId="0">
      <alignment vertical="center"/>
    </xf>
    <xf numFmtId="0" fontId="23" fillId="0" borderId="9" applyAlignment="1" pivotButton="0" quotePrefix="0" xfId="0">
      <alignment horizontal="center" vertical="center"/>
    </xf>
    <xf numFmtId="0" fontId="29" fillId="0" borderId="12" applyAlignment="1" pivotButton="0" quotePrefix="0" xfId="0">
      <alignment horizontal="center" vertical="center"/>
    </xf>
    <xf numFmtId="0" fontId="29" fillId="0" borderId="30" applyAlignment="1" pivotButton="0" quotePrefix="0" xfId="0">
      <alignment horizontal="center" vertical="center"/>
    </xf>
    <xf numFmtId="0" fontId="29" fillId="0" borderId="9" applyAlignment="1" pivotButton="0" quotePrefix="0" xfId="0">
      <alignment horizontal="center" vertical="center"/>
    </xf>
    <xf numFmtId="0" fontId="23" fillId="0" borderId="31" applyAlignment="1" pivotButton="0" quotePrefix="0" xfId="0">
      <alignment horizontal="center" vertical="center"/>
    </xf>
    <xf numFmtId="0" fontId="23" fillId="0" borderId="32" applyAlignment="1" pivotButton="0" quotePrefix="0" xfId="0">
      <alignment horizontal="center" vertical="center"/>
    </xf>
    <xf numFmtId="0" fontId="23" fillId="0" borderId="33"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4" applyAlignment="1" pivotButton="0" quotePrefix="0" xfId="0">
      <alignment horizontal="center" vertical="center"/>
    </xf>
    <xf numFmtId="0" fontId="23" fillId="0" borderId="34" applyAlignment="1" pivotButton="0" quotePrefix="0" xfId="0">
      <alignment vertical="center"/>
    </xf>
    <xf numFmtId="0" fontId="30" fillId="0" borderId="18" applyAlignment="1" applyProtection="1" pivotButton="0" quotePrefix="0" xfId="0">
      <alignment horizontal="left" vertical="center" wrapText="1"/>
      <protection locked="0" hidden="0"/>
    </xf>
    <xf numFmtId="0" fontId="30" fillId="0" borderId="18" applyAlignment="1" applyProtection="1" pivotButton="0" quotePrefix="0" xfId="0">
      <alignment horizontal="center" vertical="center" wrapText="1"/>
      <protection locked="0" hidden="0"/>
    </xf>
    <xf numFmtId="0" fontId="30" fillId="0" borderId="0" applyAlignment="1" applyProtection="1" pivotButton="0" quotePrefix="0" xfId="0">
      <alignment wrapText="1"/>
      <protection locked="0" hidden="0"/>
    </xf>
    <xf numFmtId="0" fontId="30" fillId="0" borderId="12" applyAlignment="1" applyProtection="1" pivotButton="0" quotePrefix="0" xfId="0">
      <alignment horizontal="left" vertical="top"/>
      <protection locked="0" hidden="0"/>
    </xf>
    <xf numFmtId="0" fontId="30" fillId="0" borderId="12" applyAlignment="1" applyProtection="1" pivotButton="0" quotePrefix="0" xfId="0">
      <alignment horizontal="center" vertical="top"/>
      <protection locked="0" hidden="0"/>
    </xf>
    <xf numFmtId="0" fontId="30" fillId="0" borderId="0" applyAlignment="1" applyProtection="1" pivotButton="0" quotePrefix="0" xfId="0">
      <alignment vertical="top"/>
      <protection locked="0" hidden="0"/>
    </xf>
    <xf numFmtId="0" fontId="30" fillId="0" borderId="12" applyAlignment="1" applyProtection="1" pivotButton="0" quotePrefix="0" xfId="0">
      <alignment horizontal="left" vertical="center"/>
      <protection locked="0" hidden="0"/>
    </xf>
    <xf numFmtId="0" fontId="30" fillId="0" borderId="12" applyAlignment="1" applyProtection="1" pivotButton="0" quotePrefix="0" xfId="0">
      <alignment vertical="center"/>
      <protection locked="0" hidden="0"/>
    </xf>
    <xf numFmtId="0" fontId="30" fillId="0" borderId="12" applyAlignment="1" applyProtection="1" pivotButton="0" quotePrefix="0" xfId="0">
      <alignment horizontal="center" vertical="center"/>
      <protection locked="0" hidden="0"/>
    </xf>
    <xf numFmtId="0" fontId="30" fillId="0" borderId="0" applyAlignment="1" applyProtection="1" pivotButton="0" quotePrefix="0" xfId="0">
      <alignment vertical="center"/>
      <protection locked="0" hidden="0"/>
    </xf>
    <xf numFmtId="0" fontId="30" fillId="0" borderId="0" applyAlignment="1" applyProtection="1" pivotButton="0" quotePrefix="0" xfId="0">
      <alignment horizontal="left" vertical="top"/>
      <protection locked="0" hidden="0"/>
    </xf>
    <xf numFmtId="0" fontId="5"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protection locked="0" hidden="0"/>
    </xf>
    <xf numFmtId="0" fontId="5" fillId="0" borderId="0" applyAlignment="1" applyProtection="1" pivotButton="0" quotePrefix="0" xfId="0">
      <alignment horizontal="left" vertical="center"/>
      <protection locked="0" hidden="0"/>
    </xf>
    <xf numFmtId="0" fontId="1" fillId="0" borderId="0" applyProtection="1" pivotButton="0" quotePrefix="0" xfId="0">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0" fontId="31" fillId="0" borderId="0" applyAlignment="1" pivotButton="0" quotePrefix="0" xfId="0">
      <alignment vertical="center"/>
    </xf>
    <xf numFmtId="0" fontId="1" fillId="0" borderId="0" applyAlignment="1" pivotButton="0" quotePrefix="0" xfId="0">
      <alignment vertical="center"/>
    </xf>
    <xf numFmtId="0" fontId="22" fillId="0" borderId="0" applyAlignment="1" pivotButton="0" quotePrefix="0" xfId="0">
      <alignment horizontal="center"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3" fillId="0" borderId="0" applyAlignment="1" pivotButton="0" quotePrefix="0" xfId="0">
      <alignment vertical="center"/>
    </xf>
    <xf numFmtId="0" fontId="34"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xf>
    <xf numFmtId="0" fontId="34" fillId="3" borderId="12" applyAlignment="1" pivotButton="0" quotePrefix="0" xfId="0">
      <alignment horizontal="center" vertical="center"/>
    </xf>
    <xf numFmtId="0" fontId="25" fillId="3" borderId="12" applyAlignment="1" pivotButton="0" quotePrefix="0" xfId="0">
      <alignment horizontal="center" vertical="center" wrapText="1"/>
    </xf>
    <xf numFmtId="0" fontId="34" fillId="3" borderId="13" applyAlignment="1" pivotButton="0" quotePrefix="0" xfId="0">
      <alignment horizontal="center" vertical="center"/>
    </xf>
    <xf numFmtId="0" fontId="34" fillId="3" borderId="13" applyAlignment="1" pivotButton="0" quotePrefix="0" xfId="0">
      <alignment horizontal="center" vertical="center" wrapText="1"/>
    </xf>
    <xf numFmtId="0" fontId="34" fillId="3" borderId="12" applyAlignment="1" pivotButton="0" quotePrefix="0" xfId="0">
      <alignment horizontal="center" vertical="center" wrapText="1"/>
    </xf>
    <xf numFmtId="0" fontId="34" fillId="3" borderId="22" applyAlignment="1" pivotButton="0" quotePrefix="0" xfId="0">
      <alignment horizontal="center" vertical="center"/>
    </xf>
    <xf numFmtId="0" fontId="34" fillId="3" borderId="18" applyAlignment="1" pivotButton="0" quotePrefix="0" xfId="0">
      <alignment horizontal="center" vertical="center"/>
    </xf>
    <xf numFmtId="0" fontId="34" fillId="3" borderId="14" applyAlignment="1" pivotButton="0" quotePrefix="0" xfId="0">
      <alignment horizontal="center" vertical="center"/>
    </xf>
    <xf numFmtId="0" fontId="34" fillId="3" borderId="15" applyAlignment="1" pivotButton="0" quotePrefix="0" xfId="0">
      <alignment horizontal="center" vertical="center"/>
    </xf>
    <xf numFmtId="0" fontId="34" fillId="3" borderId="16" applyAlignment="1" pivotButton="0" quotePrefix="0" xfId="0">
      <alignment horizontal="center" vertical="center"/>
    </xf>
    <xf numFmtId="0" fontId="34" fillId="3" borderId="17" applyAlignment="1" pivotButton="0" quotePrefix="0" xfId="0">
      <alignment horizontal="center" vertical="center"/>
    </xf>
    <xf numFmtId="0" fontId="34" fillId="3" borderId="0" applyAlignment="1" pivotButton="0" quotePrefix="0" xfId="0">
      <alignment horizontal="center" vertical="center"/>
    </xf>
    <xf numFmtId="0" fontId="34" fillId="3" borderId="36" applyAlignment="1" pivotButton="0" quotePrefix="0" xfId="0">
      <alignment horizontal="center" vertical="center"/>
    </xf>
    <xf numFmtId="0" fontId="34" fillId="3" borderId="19" applyAlignment="1" pivotButton="0" quotePrefix="0" xfId="0">
      <alignment horizontal="center" vertical="center"/>
    </xf>
    <xf numFmtId="0" fontId="34" fillId="3" borderId="20" applyAlignment="1" pivotButton="0" quotePrefix="0" xfId="0">
      <alignment horizontal="center" vertical="center"/>
    </xf>
    <xf numFmtId="0" fontId="34" fillId="3" borderId="21" applyAlignment="1" pivotButton="0" quotePrefix="0" xfId="0">
      <alignment horizontal="center" vertical="center"/>
    </xf>
    <xf numFmtId="0" fontId="34" fillId="3" borderId="12" applyAlignment="1" pivotButton="0" quotePrefix="0" xfId="0">
      <alignment horizontal="left" vertical="center"/>
    </xf>
    <xf numFmtId="0" fontId="34" fillId="3" borderId="12" applyAlignment="1" pivotButton="0" quotePrefix="0" xfId="0">
      <alignment horizontal="left" vertical="center" wrapText="1"/>
    </xf>
    <xf numFmtId="0" fontId="34" fillId="0" borderId="12" applyAlignment="1" pivotButton="0" quotePrefix="0" xfId="0">
      <alignment horizontal="left" vertical="top" wrapText="1"/>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22" fillId="0" borderId="12" applyAlignment="1" pivotButton="0" quotePrefix="0" xfId="0">
      <alignment horizontal="center" vertical="center"/>
    </xf>
    <xf numFmtId="0" fontId="22" fillId="0" borderId="12" applyAlignment="1" pivotButton="0" quotePrefix="0" xfId="0">
      <alignment horizontal="left" vertical="center"/>
    </xf>
    <xf numFmtId="0" fontId="22" fillId="0" borderId="12" applyAlignment="1" pivotButton="0" quotePrefix="0" xfId="0">
      <alignment horizontal="left" vertical="center" wrapText="1"/>
    </xf>
    <xf numFmtId="0" fontId="22" fillId="0" borderId="13" applyAlignment="1" pivotButton="0" quotePrefix="0" xfId="0">
      <alignment horizontal="left" vertical="center"/>
    </xf>
    <xf numFmtId="0" fontId="22" fillId="0" borderId="13" applyAlignment="1" pivotButton="0" quotePrefix="0" xfId="0">
      <alignment vertical="center"/>
    </xf>
    <xf numFmtId="0" fontId="22" fillId="0" borderId="13" applyAlignment="1" pivotButton="0" quotePrefix="0" xfId="0">
      <alignment horizontal="left" vertical="center" wrapText="1"/>
    </xf>
    <xf numFmtId="0" fontId="22" fillId="0" borderId="12" applyAlignment="1" pivotButton="0" quotePrefix="0" xfId="0">
      <alignment vertical="center"/>
    </xf>
    <xf numFmtId="0" fontId="22" fillId="0" borderId="22" applyAlignment="1" pivotButton="0" quotePrefix="0" xfId="0">
      <alignment horizontal="left" vertical="center" wrapText="1"/>
    </xf>
    <xf numFmtId="0" fontId="22" fillId="0" borderId="13" applyAlignment="1" pivotButton="0" quotePrefix="0" xfId="0">
      <alignment horizontal="center" vertical="center"/>
    </xf>
    <xf numFmtId="0" fontId="22" fillId="0" borderId="22" applyAlignment="1" pivotButton="0" quotePrefix="0" xfId="0">
      <alignment horizontal="left" vertical="center"/>
    </xf>
    <xf numFmtId="0" fontId="22" fillId="0" borderId="12" applyAlignment="1" pivotButton="0" quotePrefix="0" xfId="0">
      <alignment horizontal="center" vertical="center" wrapText="1"/>
    </xf>
    <xf numFmtId="0" fontId="1" fillId="0" borderId="12" applyAlignment="1" pivotButton="0" quotePrefix="0" xfId="0">
      <alignment horizontal="center" vertical="center"/>
    </xf>
    <xf numFmtId="0" fontId="22" fillId="0" borderId="13" applyAlignment="1" pivotButton="0" quotePrefix="0" xfId="0">
      <alignment horizontal="center" vertical="center" wrapText="1"/>
    </xf>
    <xf numFmtId="0" fontId="1" fillId="0" borderId="12" applyAlignment="1" pivotButton="0" quotePrefix="0" xfId="0">
      <alignment vertical="center"/>
    </xf>
    <xf numFmtId="0" fontId="22" fillId="0" borderId="22" applyAlignment="1" pivotButton="0" quotePrefix="0" xfId="0">
      <alignment horizontal="center" vertical="center" wrapText="1"/>
    </xf>
    <xf numFmtId="0" fontId="22" fillId="0" borderId="18" applyAlignment="1" pivotButton="0" quotePrefix="0" xfId="0">
      <alignment horizontal="left" vertical="center" wrapText="1"/>
    </xf>
    <xf numFmtId="0" fontId="22" fillId="0" borderId="18" applyAlignment="1" pivotButton="0" quotePrefix="0" xfId="0">
      <alignment horizontal="center" vertical="center" wrapText="1"/>
    </xf>
    <xf numFmtId="0" fontId="22" fillId="0" borderId="9" applyAlignment="1" pivotButton="0" quotePrefix="0" xfId="0">
      <alignment horizontal="left" vertical="center" wrapText="1"/>
    </xf>
    <xf numFmtId="0" fontId="22" fillId="0" borderId="10" applyAlignment="1" pivotButton="0" quotePrefix="0" xfId="0">
      <alignment horizontal="left" vertical="center" wrapText="1"/>
    </xf>
    <xf numFmtId="0" fontId="22" fillId="0" borderId="11" applyAlignment="1" pivotButton="0" quotePrefix="0" xfId="0">
      <alignment horizontal="left" vertical="center" wrapText="1"/>
    </xf>
    <xf numFmtId="0" fontId="22" fillId="0" borderId="9" applyAlignment="1" pivotButton="0" quotePrefix="0" xfId="0">
      <alignment horizontal="center" vertical="center" wrapText="1"/>
    </xf>
    <xf numFmtId="0" fontId="22" fillId="0" borderId="11" applyAlignment="1" pivotButton="0" quotePrefix="0" xfId="0">
      <alignment horizontal="center" vertical="center" wrapText="1"/>
    </xf>
    <xf numFmtId="0" fontId="1" fillId="0" borderId="12" applyAlignment="1" pivotButton="0" quotePrefix="0" xfId="0">
      <alignment horizontal="left" vertical="center"/>
    </xf>
    <xf numFmtId="0" fontId="1" fillId="0" borderId="9" applyAlignment="1" pivotButton="0" quotePrefix="0" xfId="0">
      <alignment horizontal="center" vertical="center"/>
    </xf>
    <xf numFmtId="0" fontId="1" fillId="0" borderId="11" applyAlignment="1" pivotButton="0" quotePrefix="0" xfId="0">
      <alignment horizontal="center" vertical="center"/>
    </xf>
    <xf numFmtId="0" fontId="1" fillId="0" borderId="12" applyAlignment="1" pivotButton="0" quotePrefix="0" xfId="0">
      <alignment horizontal="left" vertical="center" wrapText="1"/>
    </xf>
    <xf numFmtId="0" fontId="3" fillId="2" borderId="0" applyAlignment="1" pivotButton="0" quotePrefix="0" xfId="0">
      <alignment vertical="center"/>
    </xf>
    <xf numFmtId="0" fontId="1" fillId="2" borderId="0" applyAlignment="1" pivotButton="0" quotePrefix="0" xfId="0">
      <alignment horizontal="center" vertical="center"/>
    </xf>
    <xf numFmtId="0" fontId="1" fillId="2" borderId="2"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1" fillId="2" borderId="0" applyAlignment="1" pivotButton="0" quotePrefix="0" xfId="0">
      <alignment vertical="center"/>
    </xf>
    <xf numFmtId="0" fontId="3" fillId="2" borderId="4" applyAlignment="1" pivotButton="0" quotePrefix="0" xfId="0">
      <alignment horizontal="center" vertical="center"/>
    </xf>
    <xf numFmtId="0" fontId="3" fillId="2" borderId="0" applyAlignment="1" pivotButton="0" quotePrefix="0" xfId="0">
      <alignment horizontal="center" vertical="center"/>
    </xf>
    <xf numFmtId="0" fontId="3" fillId="2" borderId="5" applyAlignment="1" pivotButton="0" quotePrefix="0" xfId="0">
      <alignment horizontal="center" vertical="center"/>
    </xf>
    <xf numFmtId="0" fontId="3" fillId="2" borderId="0" applyAlignment="1" applyProtection="1" pivotButton="0" quotePrefix="0" xfId="0">
      <alignment vertical="center"/>
      <protection locked="0" hidden="0"/>
    </xf>
    <xf numFmtId="0" fontId="38" fillId="2" borderId="0" applyAlignment="1" pivotButton="0" quotePrefix="0" xfId="0">
      <alignment horizontal="center" vertical="center"/>
    </xf>
    <xf numFmtId="0" fontId="4" fillId="2" borderId="0" applyAlignment="1" pivotButton="0" quotePrefix="0" xfId="0">
      <alignment horizontal="center" vertical="center"/>
    </xf>
    <xf numFmtId="0" fontId="1" fillId="2" borderId="0" applyProtection="1" pivotButton="0" quotePrefix="0" xfId="0">
      <protection locked="0" hidden="0"/>
    </xf>
    <xf numFmtId="0" fontId="1" fillId="2" borderId="7" applyAlignment="1" pivotButton="0" quotePrefix="0" xfId="0">
      <alignment horizontal="center" vertical="center"/>
    </xf>
    <xf numFmtId="0" fontId="39" fillId="2" borderId="1" applyAlignment="1" pivotButton="0" quotePrefix="0" xfId="0">
      <alignment horizontal="center" vertical="center"/>
    </xf>
    <xf numFmtId="0" fontId="39" fillId="2" borderId="2" applyAlignment="1" pivotButton="0" quotePrefix="0" xfId="0">
      <alignment horizontal="center" vertical="center"/>
    </xf>
    <xf numFmtId="0" fontId="39" fillId="2" borderId="3" applyAlignment="1" pivotButton="0" quotePrefix="0" xfId="0">
      <alignment horizontal="center" vertical="center"/>
    </xf>
    <xf numFmtId="0" fontId="1" fillId="2" borderId="37" pivotButton="0" quotePrefix="0" xfId="0"/>
    <xf numFmtId="0" fontId="39" fillId="2" borderId="4" applyAlignment="1" pivotButton="0" quotePrefix="0" xfId="0">
      <alignment horizontal="center" vertical="center"/>
    </xf>
    <xf numFmtId="0" fontId="39" fillId="2" borderId="0" applyAlignment="1" pivotButton="0" quotePrefix="0" xfId="0">
      <alignment horizontal="center" vertical="center"/>
    </xf>
    <xf numFmtId="0" fontId="39" fillId="2" borderId="5" applyAlignment="1" pivotButton="0" quotePrefix="0" xfId="0">
      <alignment horizontal="center" vertical="center"/>
    </xf>
    <xf numFmtId="0" fontId="40" fillId="2" borderId="4" applyAlignment="1" pivotButton="0" quotePrefix="0" xfId="0">
      <alignment horizontal="center"/>
    </xf>
    <xf numFmtId="0" fontId="40" fillId="2" borderId="0" applyAlignment="1" pivotButton="0" quotePrefix="0" xfId="0">
      <alignment horizontal="center"/>
    </xf>
    <xf numFmtId="0" fontId="40" fillId="2" borderId="5" applyAlignment="1" pivotButton="0" quotePrefix="0" xfId="0">
      <alignment horizontal="center"/>
    </xf>
    <xf numFmtId="0" fontId="40" fillId="2" borderId="37" applyAlignment="1" pivotButton="0" quotePrefix="0" xfId="0">
      <alignment horizontal="center"/>
    </xf>
    <xf numFmtId="0" fontId="41" fillId="2" borderId="0" applyAlignment="1" pivotButton="0" quotePrefix="0" xfId="0">
      <alignment horizontal="center"/>
    </xf>
    <xf numFmtId="0" fontId="41" fillId="2" borderId="0" applyAlignment="1" applyProtection="1" pivotButton="0" quotePrefix="0" xfId="0">
      <alignment horizontal="center" wrapText="1"/>
      <protection locked="0" hidden="0"/>
    </xf>
    <xf numFmtId="0" fontId="41" fillId="2" borderId="0" applyAlignment="1" pivotButton="0" quotePrefix="0" xfId="0">
      <alignment wrapText="1"/>
    </xf>
    <xf numFmtId="0" fontId="41" fillId="2" borderId="23" applyAlignment="1" applyProtection="1" pivotButton="0" quotePrefix="0" xfId="0">
      <alignment horizontal="center" wrapText="1"/>
      <protection locked="0" hidden="0"/>
    </xf>
    <xf numFmtId="0" fontId="41" fillId="2" borderId="38" applyAlignment="1" applyProtection="1" pivotButton="0" quotePrefix="0" xfId="0">
      <alignment horizontal="center"/>
      <protection locked="0" hidden="0"/>
    </xf>
    <xf numFmtId="0" fontId="41" fillId="2" borderId="0" pivotButton="0" quotePrefix="0" xfId="0"/>
    <xf numFmtId="0" fontId="41" fillId="2" borderId="23" applyAlignment="1" applyProtection="1" pivotButton="0" quotePrefix="0" xfId="0">
      <alignment horizontal="center"/>
      <protection locked="0" hidden="0"/>
    </xf>
    <xf numFmtId="0" fontId="41" fillId="2" borderId="0" applyAlignment="1" applyProtection="1" pivotButton="0" quotePrefix="0" xfId="0">
      <alignment horizontal="center"/>
      <protection locked="0" hidden="0"/>
    </xf>
    <xf numFmtId="14" fontId="42" fillId="2" borderId="39" applyAlignment="1" pivotButton="0" quotePrefix="0" xfId="0">
      <alignment horizontal="left"/>
    </xf>
    <xf numFmtId="0" fontId="43" fillId="2" borderId="9" applyAlignment="1" pivotButton="0" quotePrefix="0" xfId="0">
      <alignment horizontal="center"/>
    </xf>
    <xf numFmtId="0" fontId="43" fillId="2" borderId="10" applyAlignment="1" pivotButton="0" quotePrefix="0" xfId="0">
      <alignment horizontal="center"/>
    </xf>
    <xf numFmtId="0" fontId="43" fillId="2" borderId="11" applyAlignment="1" pivotButton="0" quotePrefix="0" xfId="0">
      <alignment horizontal="center"/>
    </xf>
    <xf numFmtId="0" fontId="5" fillId="2" borderId="12" applyAlignment="1" pivotButton="0" quotePrefix="0" xfId="0">
      <alignment horizontal="center"/>
    </xf>
    <xf numFmtId="14" fontId="1" fillId="2" borderId="39" applyAlignment="1" pivotButton="0" quotePrefix="0" xfId="0">
      <alignment horizontal="center"/>
    </xf>
    <xf numFmtId="0" fontId="1" fillId="2" borderId="12" applyAlignment="1" pivotButton="0" quotePrefix="0" xfId="0">
      <alignment horizontal="center"/>
    </xf>
    <xf numFmtId="0" fontId="1" fillId="2" borderId="13" applyAlignment="1" applyProtection="1" pivotButton="0" quotePrefix="0" xfId="0">
      <alignment horizontal="center"/>
      <protection locked="0" hidden="0"/>
    </xf>
    <xf numFmtId="0" fontId="1" fillId="2" borderId="39" pivotButton="0" quotePrefix="0" xfId="0"/>
    <xf numFmtId="0" fontId="1" fillId="2" borderId="13" applyAlignment="1" applyProtection="1" pivotButton="0" quotePrefix="0" xfId="0">
      <alignment horizontal="center" vertical="center"/>
      <protection locked="0" hidden="0"/>
    </xf>
    <xf numFmtId="0" fontId="1" fillId="2" borderId="22" applyAlignment="1" applyProtection="1" pivotButton="0" quotePrefix="0" xfId="0">
      <alignment horizontal="center"/>
      <protection locked="0" hidden="0"/>
    </xf>
    <xf numFmtId="0" fontId="1" fillId="2" borderId="22" applyAlignment="1" applyProtection="1" pivotButton="0" quotePrefix="0" xfId="0">
      <alignment horizontal="center" vertical="center"/>
      <protection locked="0" hidden="0"/>
    </xf>
    <xf numFmtId="0" fontId="1" fillId="2" borderId="5" applyAlignment="1" pivotButton="0" quotePrefix="0" xfId="0">
      <alignment horizontal="left"/>
    </xf>
    <xf numFmtId="0" fontId="1" fillId="2" borderId="40" pivotButton="0" quotePrefix="0" xfId="0"/>
    <xf numFmtId="0" fontId="1" fillId="2" borderId="18" applyAlignment="1" applyProtection="1" pivotButton="0" quotePrefix="0" xfId="0">
      <alignment horizontal="center" vertical="center"/>
      <protection locked="0" hidden="0"/>
    </xf>
    <xf numFmtId="0" fontId="1" fillId="2" borderId="18" applyAlignment="1" applyProtection="1" pivotButton="0" quotePrefix="0" xfId="0">
      <alignment horizontal="center"/>
      <protection locked="0" hidden="0"/>
    </xf>
    <xf numFmtId="0" fontId="1" fillId="2" borderId="23" applyAlignment="1" pivotButton="0" quotePrefix="0" xfId="0">
      <alignment horizontal="center"/>
    </xf>
    <xf numFmtId="0" fontId="1" fillId="2" borderId="23" applyAlignment="1" applyProtection="1" pivotButton="0" quotePrefix="0" xfId="0">
      <alignment horizontal="left"/>
      <protection locked="0" hidden="0"/>
    </xf>
    <xf numFmtId="0" fontId="1" fillId="2" borderId="38" applyAlignment="1" pivotButton="0" quotePrefix="0" xfId="0">
      <alignment horizontal="center"/>
    </xf>
    <xf numFmtId="0" fontId="1" fillId="2" borderId="38" pivotButton="0" quotePrefix="0" xfId="0"/>
    <xf numFmtId="0" fontId="15" fillId="2" borderId="23" applyAlignment="1" applyProtection="1" pivotButton="0" quotePrefix="0" xfId="6">
      <alignment horizontal="left"/>
      <protection locked="0" hidden="0"/>
    </xf>
    <xf numFmtId="0" fontId="0" fillId="0" borderId="0" pivotButton="0" quotePrefix="0" xfId="0"/>
    <xf numFmtId="0" fontId="39" fillId="2" borderId="50"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0" applyProtection="1" pivotButton="0" quotePrefix="0" xfId="0">
      <protection locked="0" hidden="0"/>
    </xf>
    <xf numFmtId="0" fontId="0" fillId="0" borderId="23" applyProtection="1" pivotButton="0" quotePrefix="0" xfId="0">
      <protection locked="0" hidden="0"/>
    </xf>
    <xf numFmtId="0" fontId="41" fillId="2" borderId="49" applyAlignment="1" applyProtection="1" pivotButton="0" quotePrefix="0" xfId="0">
      <alignment horizontal="center"/>
      <protection locked="0" hidden="0"/>
    </xf>
    <xf numFmtId="0" fontId="0" fillId="0" borderId="38" applyProtection="1" pivotButton="0" quotePrefix="0" xfId="0">
      <protection locked="0" hidden="0"/>
    </xf>
    <xf numFmtId="0" fontId="43" fillId="2" borderId="12" applyAlignment="1" pivotButton="0" quotePrefix="0" xfId="0">
      <alignment horizontal="center"/>
    </xf>
    <xf numFmtId="0" fontId="0" fillId="0" borderId="10" pivotButton="0" quotePrefix="0" xfId="0"/>
    <xf numFmtId="0" fontId="0" fillId="0" borderId="11" pivotButton="0" quotePrefix="0" xfId="0"/>
    <xf numFmtId="0" fontId="1" fillId="2" borderId="12" applyAlignment="1" applyProtection="1" pivotButton="0" quotePrefix="0" xfId="0">
      <alignment horizontal="center"/>
      <protection locked="0" hidden="0"/>
    </xf>
    <xf numFmtId="0" fontId="1" fillId="2" borderId="12" applyAlignment="1" applyProtection="1" pivotButton="0" quotePrefix="0" xfId="0">
      <alignment horizontal="center" vertical="center"/>
      <protection locked="0" hidden="0"/>
    </xf>
    <xf numFmtId="0" fontId="0" fillId="0" borderId="22" applyProtection="1" pivotButton="0" quotePrefix="0" xfId="0">
      <protection locked="0" hidden="0"/>
    </xf>
    <xf numFmtId="0" fontId="0" fillId="0" borderId="18" applyProtection="1" pivotButton="0" quotePrefix="0" xfId="0">
      <protection locked="0" hidden="0"/>
    </xf>
    <xf numFmtId="0" fontId="0" fillId="0" borderId="23" pivotButton="0" quotePrefix="0" xfId="0"/>
    <xf numFmtId="0" fontId="1" fillId="2" borderId="49" applyAlignment="1" pivotButton="0" quotePrefix="0" xfId="0">
      <alignment horizontal="center"/>
    </xf>
    <xf numFmtId="0" fontId="2" fillId="2" borderId="37" applyAlignment="1" pivotButton="0" quotePrefix="0" xfId="0">
      <alignment horizontal="center" vertical="center"/>
    </xf>
    <xf numFmtId="0" fontId="3" fillId="2" borderId="37" applyAlignment="1" pivotButton="0" quotePrefix="0" xfId="0">
      <alignment horizontal="center" vertical="center"/>
    </xf>
    <xf numFmtId="0" fontId="0" fillId="0" borderId="22" pivotButton="0" quotePrefix="0" xfId="0"/>
    <xf numFmtId="0" fontId="0" fillId="0" borderId="18"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36"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38" pivotButton="0" quotePrefix="0" xfId="0"/>
    <xf numFmtId="0" fontId="0" fillId="0" borderId="56" pivotButton="0" quotePrefix="0" xfId="0"/>
    <xf numFmtId="0" fontId="0" fillId="0" borderId="28" pivotButton="0" quotePrefix="0" xfId="0"/>
    <xf numFmtId="0" fontId="0" fillId="0" borderId="52" pivotButton="0" quotePrefix="0" xfId="0"/>
    <xf numFmtId="0" fontId="0" fillId="0" borderId="57" pivotButton="0" quotePrefix="0" xfId="0"/>
    <xf numFmtId="0" fontId="0" fillId="0" borderId="54" pivotButton="0" quotePrefix="0" xfId="0"/>
    <xf numFmtId="0" fontId="0" fillId="0" borderId="53" pivotButton="0" quotePrefix="0" xfId="0"/>
    <xf numFmtId="0" fontId="0" fillId="0" borderId="55" pivotButton="0" quotePrefix="0" xfId="0"/>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0" fillId="0" borderId="20" applyProtection="1" pivotButton="0" quotePrefix="0" xfId="0">
      <protection locked="0" hidden="0"/>
    </xf>
    <xf numFmtId="0" fontId="0" fillId="0" borderId="21"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19" applyProtection="1" pivotButton="0" quotePrefix="0" xfId="0">
      <protection locked="0" hidden="0"/>
    </xf>
    <xf numFmtId="0" fontId="10" fillId="0" borderId="12" applyAlignment="1" pivotButton="0" quotePrefix="0" xfId="0">
      <alignment horizontal="left" vertical="center"/>
    </xf>
    <xf numFmtId="0" fontId="12" fillId="0" borderId="12" applyAlignment="1" pivotButton="0" quotePrefix="0" xfId="0">
      <alignment horizontal="center" vertical="center" wrapText="1"/>
    </xf>
    <xf numFmtId="0" fontId="10" fillId="0" borderId="13" applyAlignment="1" pivotButton="0" quotePrefix="0" xfId="0">
      <alignment horizontal="left" vertical="center"/>
    </xf>
    <xf numFmtId="14" fontId="8" fillId="0" borderId="12" applyAlignment="1" pivotButton="0" quotePrefix="0" xfId="0">
      <alignment horizontal="center" vertical="center"/>
    </xf>
    <xf numFmtId="0" fontId="19" fillId="0" borderId="12" applyAlignment="1" pivotButton="0" quotePrefix="0" xfId="0">
      <alignment horizontal="center" vertical="center" wrapText="1"/>
    </xf>
    <xf numFmtId="164" fontId="8" fillId="0" borderId="12" applyAlignment="1" pivotButton="0" quotePrefix="0" xfId="49">
      <alignment horizontal="center" vertical="center"/>
    </xf>
    <xf numFmtId="0" fontId="7" fillId="0" borderId="12" applyAlignment="1" pivotButton="0" quotePrefix="0" xfId="0">
      <alignment horizontal="righ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_rels/drawing4.xml.rels><Relationships xmlns="http://schemas.openxmlformats.org/package/2006/relationships"><Relationship Type="http://schemas.openxmlformats.org/officeDocument/2006/relationships/image" Target="/xl/media/image5.jpeg" Id="rId1"/></Relationships>
</file>

<file path=xl/drawings/_rels/drawing5.xml.rels><Relationships xmlns="http://schemas.openxmlformats.org/package/2006/relationships"><Relationship Type="http://schemas.openxmlformats.org/officeDocument/2006/relationships/image" Target="/xl/media/image6.jpeg" Id="rId1"/></Relationships>
</file>

<file path=xl/drawings/_rels/drawing6.xml.rels><Relationships xmlns="http://schemas.openxmlformats.org/package/2006/relationships"><Relationship Type="http://schemas.openxmlformats.org/officeDocument/2006/relationships/image" Target="/xl/media/image7.jpeg" Id="rId1"/></Relationships>
</file>

<file path=xl/drawings/_rels/drawing7.xml.rels><Relationships xmlns="http://schemas.openxmlformats.org/package/2006/relationships"><Relationship Type="http://schemas.openxmlformats.org/officeDocument/2006/relationships/image" Target="/xl/media/image8.jpeg" Id="rId1"/></Relationships>
</file>

<file path=xl/drawings/_rels/drawing8.xml.rels><Relationships xmlns="http://schemas.openxmlformats.org/package/2006/relationships"><Relationship Type="http://schemas.openxmlformats.org/officeDocument/2006/relationships/image" Target="/xl/media/image9.jpeg" Id="rId1"/></Relationships>
</file>

<file path=xl/drawings/_rels/drawing9.xml.rels><Relationships xmlns="http://schemas.openxmlformats.org/package/2006/relationships"><Relationship Type="http://schemas.openxmlformats.org/officeDocument/2006/relationships/image" Target="/xl/media/image10.jpeg" Id="rId1"/></Relationships>
</file>

<file path=xl/drawings/_rels/drawing10.xml.rels><Relationships xmlns="http://schemas.openxmlformats.org/package/2006/relationships"><Relationship Type="http://schemas.openxmlformats.org/officeDocument/2006/relationships/image" Target="/xl/media/image11.jpeg" Id="rId1"/></Relationships>
</file>

<file path=xl/drawings/_rels/drawing11.xml.rels><Relationships xmlns="http://schemas.openxmlformats.org/package/2006/relationships"><Relationship Type="http://schemas.openxmlformats.org/officeDocument/2006/relationships/image" Target="/xl/media/image12.jpeg" Id="rId1"/></Relationships>
</file>

<file path=xl/drawings/_rels/drawing12.xml.rels><Relationships xmlns="http://schemas.openxmlformats.org/package/2006/relationships"><Relationship Type="http://schemas.openxmlformats.org/officeDocument/2006/relationships/image" Target="/xl/media/image13.jpeg" Id="rId1"/></Relationships>
</file>

<file path=xl/drawings/_rels/drawing13.xml.rels><Relationships xmlns="http://schemas.openxmlformats.org/package/2006/relationships"><Relationship Type="http://schemas.openxmlformats.org/officeDocument/2006/relationships/image" Target="/xl/media/image14.jpeg" Id="rId1"/></Relationships>
</file>

<file path=xl/drawings/_rels/drawing14.xml.rels><Relationships xmlns="http://schemas.openxmlformats.org/package/2006/relationships"><Relationship Type="http://schemas.openxmlformats.org/officeDocument/2006/relationships/image" Target="/xl/media/image15.jpeg" Id="rId1"/></Relationships>
</file>

<file path=xl/drawings/drawing1.xml><?xml version="1.0" encoding="utf-8"?>
<wsDr xmlns="http://schemas.openxmlformats.org/drawingml/2006/spreadsheetDrawing">
  <twoCellAnchor>
    <from>
      <col>0</col>
      <colOff>99060</colOff>
      <row>0</row>
      <rowOff>85725</rowOff>
    </from>
    <to>
      <col>2</col>
      <colOff>1052830</colOff>
      <row>2</row>
      <rowOff>130810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99060" y="85725"/>
          <a:ext cx="26396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101600</colOff>
      <row>0</row>
      <rowOff>90170</rowOff>
    </from>
    <to>
      <col>2</col>
      <colOff>1541145</colOff>
      <row>2</row>
      <rowOff>135255</rowOff>
    </to>
    <pic>
      <nvPicPr>
        <cNvPr id="6" name="图片 5"/>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01600" y="90170"/>
          <a:ext cx="26015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57150</colOff>
      <row>0</row>
      <rowOff>76200</rowOff>
    </from>
    <to>
      <col>2</col>
      <colOff>668020</colOff>
      <row>2</row>
      <rowOff>140335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57150" y="76200"/>
          <a:ext cx="2562225" cy="50609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3607435</colOff>
      <row>26</row>
      <rowOff>50165</rowOff>
    </from>
    <to>
      <col>5</col>
      <colOff>20955</colOff>
      <row>29</row>
      <rowOff>149225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clrChange>
            <clrFrom/>
            <clrTo/>
          </clrChange>
        </a:blip>
        <a:stretch xmlns:a="http://schemas.openxmlformats.org/drawingml/2006/main">
          <a:fillRect/>
        </a:stretch>
      </blipFill>
      <spPr>
        <a:xfrm xmlns:a="http://schemas.openxmlformats.org/drawingml/2006/main">
          <a:off x="6226810" y="7839075"/>
          <a:ext cx="1642745" cy="136398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from>
      <col>0</col>
      <colOff>60960</colOff>
      <row>0</row>
      <rowOff>68580</rowOff>
    </from>
    <to>
      <col>4</col>
      <colOff>340523</colOff>
      <row>0</row>
      <rowOff>540294</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0960" y="68580"/>
          <a:ext cx="282257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9.xml><?xml version="1.0" encoding="utf-8"?>
<wsDr xmlns="http://schemas.openxmlformats.org/drawingml/2006/spreadsheetDrawing">
  <twoCellAnchor>
    <from>
      <col>0</col>
      <colOff>64135</colOff>
      <row>0</row>
      <rowOff>83820</rowOff>
    </from>
    <to>
      <col>3</col>
      <colOff>534035</colOff>
      <row>0</row>
      <rowOff>554990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4135" y="83820"/>
          <a:ext cx="291782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0.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1.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2.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3.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6.xml" Id="rId2"/></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8.xml" Id="rId2"/></Relationships>
</file>

<file path=xl/worksheets/_rels/sheet10.xml.rels><Relationships xmlns="http://schemas.openxmlformats.org/package/2006/relationships"><Relationship Type="http://schemas.openxmlformats.org/officeDocument/2006/relationships/hyperlink" Target="mailto:fjw@dejoint.com" TargetMode="External" Id="rId1"/><Relationship Type="http://schemas.openxmlformats.org/officeDocument/2006/relationships/drawing" Target="/xl/drawings/drawing9.xml" Id="rId2"/></Relationships>
</file>

<file path=xl/worksheets/_rels/sheet11.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0.xml" Id="rId2"/></Relationships>
</file>

<file path=xl/worksheets/_rels/sheet1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1.xml" Id="rId2"/></Relationships>
</file>

<file path=xl/worksheets/_rels/sheet13.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2.xml" Id="rId2"/></Relationships>
</file>

<file path=xl/worksheets/_rels/sheet14.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3.xml" Id="rId2"/></Relationships>
</file>

<file path=xl/worksheets/_rels/sheet1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4.xml" Id="rId2"/></Relationships>
</file>

<file path=xl/worksheets/sheet1.xml><?xml version="1.0" encoding="utf-8"?>
<worksheet xmlns="http://schemas.openxmlformats.org/spreadsheetml/2006/main">
  <sheetPr codeName="Sheet1">
    <outlinePr summaryBelow="1" summaryRight="1"/>
    <pageSetUpPr/>
  </sheetPr>
  <dimension ref="A1:G35"/>
  <sheetViews>
    <sheetView tabSelected="1" view="pageBreakPreview" topLeftCell="A7" zoomScale="85" zoomScaleNormal="70" workbookViewId="0">
      <selection activeCell="K25" sqref="K25"/>
    </sheetView>
  </sheetViews>
  <sheetFormatPr baseColWidth="8" defaultColWidth="8.875" defaultRowHeight="17.4"/>
  <cols>
    <col width="5.5" customWidth="1" style="245" min="1" max="1"/>
    <col width="16.625" customWidth="1" style="245" min="2" max="6"/>
    <col width="5.5" customWidth="1" style="245" min="7" max="7"/>
    <col width="8.875" customWidth="1" style="245" min="8" max="16384"/>
  </cols>
  <sheetData>
    <row r="1" ht="18" customHeight="1" s="294">
      <c r="A1" s="2" t="n"/>
      <c r="B1" s="3" t="n"/>
      <c r="C1" s="3" t="n"/>
      <c r="D1" s="3" t="n"/>
      <c r="E1" s="3" t="n"/>
      <c r="F1" s="3" t="n"/>
      <c r="G1" s="4" t="n"/>
    </row>
    <row r="2" ht="18" customHeight="1" s="294">
      <c r="A2" s="5" t="n"/>
      <c r="B2" s="1" t="n"/>
      <c r="C2" s="1" t="n"/>
      <c r="D2" s="1" t="n"/>
      <c r="E2" s="1" t="n"/>
      <c r="F2" s="1" t="n"/>
      <c r="G2" s="6" t="n"/>
    </row>
    <row r="3" ht="18" customHeight="1" s="294">
      <c r="A3" s="5" t="n"/>
      <c r="B3" s="1" t="n"/>
      <c r="C3" s="1" t="n"/>
      <c r="D3" s="1" t="n"/>
      <c r="E3" s="1" t="n"/>
      <c r="F3" s="1" t="n"/>
      <c r="G3" s="6" t="n"/>
    </row>
    <row r="4" ht="18" customHeight="1" s="294">
      <c r="A4" s="5" t="n"/>
      <c r="B4" s="295" t="inlineStr">
        <is>
          <t>宁波生久科技有限公司</t>
        </is>
      </c>
      <c r="C4" s="296" t="n"/>
      <c r="D4" s="296" t="n"/>
      <c r="E4" s="296" t="n"/>
      <c r="F4" s="297" t="n"/>
      <c r="G4" s="257" t="n"/>
    </row>
    <row r="5" ht="18" customHeight="1" s="294">
      <c r="A5" s="5" t="n"/>
      <c r="B5" s="298" t="n"/>
      <c r="F5" s="299" t="n"/>
      <c r="G5" s="257" t="n"/>
    </row>
    <row r="6" ht="18" customHeight="1" s="294">
      <c r="A6" s="5" t="n"/>
      <c r="B6" s="298" t="n"/>
      <c r="F6" s="299" t="n"/>
      <c r="G6" s="257" t="n"/>
    </row>
    <row r="7" ht="18" customHeight="1" s="294">
      <c r="A7" s="5" t="n"/>
      <c r="B7" s="298" t="n"/>
      <c r="F7" s="299" t="n"/>
      <c r="G7" s="257" t="n"/>
    </row>
    <row r="8" ht="18" customHeight="1" s="294">
      <c r="A8" s="5" t="n"/>
      <c r="B8" s="298" t="n"/>
      <c r="F8" s="299" t="n"/>
      <c r="G8" s="257" t="n"/>
    </row>
    <row r="9" ht="18" customHeight="1" s="294">
      <c r="A9" s="5" t="n"/>
      <c r="B9" s="298" t="n"/>
      <c r="F9" s="299" t="n"/>
      <c r="G9" s="257" t="n"/>
    </row>
    <row r="10" ht="34.9" customHeight="1" s="294">
      <c r="A10" s="5" t="n"/>
      <c r="B10" s="264" t="inlineStr">
        <is>
          <t xml:space="preserve">材料承认书 Rev3.1版本 </t>
        </is>
      </c>
      <c r="F10" s="299" t="n"/>
      <c r="G10" s="264" t="n"/>
    </row>
    <row r="11" ht="18" customHeight="1" s="294">
      <c r="A11" s="5" t="n"/>
      <c r="B11" s="17" t="n"/>
      <c r="C11" s="18" t="n"/>
      <c r="D11" s="18" t="n"/>
      <c r="E11" s="18" t="n"/>
      <c r="F11" s="19" t="n"/>
      <c r="G11" s="257" t="n"/>
    </row>
    <row r="12" ht="28.15" customHeight="1" s="294">
      <c r="A12" s="5" t="n"/>
      <c r="B12" s="265" t="inlineStr">
        <is>
          <t>材料名称:</t>
        </is>
      </c>
      <c r="D12" s="268" t="n"/>
      <c r="E12" s="300" t="n"/>
      <c r="F12" s="267" t="n"/>
      <c r="G12" s="6" t="n"/>
    </row>
    <row r="13" ht="28.15" customHeight="1" s="294">
      <c r="A13" s="5" t="n"/>
      <c r="D13" s="301" t="n"/>
      <c r="E13" s="301" t="n"/>
      <c r="F13" s="267" t="n"/>
      <c r="G13" s="6" t="n"/>
    </row>
    <row r="14" ht="28.15" customHeight="1" s="294">
      <c r="A14" s="5" t="n"/>
      <c r="B14" s="265" t="inlineStr">
        <is>
          <t>生久料号:</t>
        </is>
      </c>
      <c r="D14" s="302" t="n"/>
      <c r="E14" s="303" t="n"/>
      <c r="F14" s="270" t="n"/>
      <c r="G14" s="6" t="n"/>
    </row>
    <row r="15" ht="28.15" customHeight="1" s="294">
      <c r="A15" s="5" t="n"/>
      <c r="D15" s="301" t="n"/>
      <c r="E15" s="301" t="n"/>
      <c r="F15" s="270" t="n"/>
      <c r="G15" s="6" t="n"/>
    </row>
    <row r="16" ht="28.15" customHeight="1" s="294">
      <c r="A16" s="5" t="n"/>
      <c r="B16" s="265" t="inlineStr">
        <is>
          <t>图纸版本:</t>
        </is>
      </c>
      <c r="D16" s="302" t="n"/>
      <c r="E16" s="303" t="n"/>
      <c r="F16" s="270" t="n"/>
      <c r="G16" s="6" t="n"/>
    </row>
    <row r="17" ht="28.15" customHeight="1" s="294">
      <c r="A17" s="5" t="n"/>
      <c r="D17" s="301" t="n"/>
      <c r="E17" s="301" t="n"/>
      <c r="F17" s="270" t="n"/>
      <c r="G17" s="6" t="n"/>
    </row>
    <row r="18" ht="28.15" customHeight="1" s="294">
      <c r="A18" s="5" t="n"/>
      <c r="B18" s="265" t="n"/>
      <c r="C18" s="265" t="n"/>
      <c r="D18" s="272" t="n"/>
      <c r="E18" s="272" t="n"/>
      <c r="F18" s="270" t="n"/>
      <c r="G18" s="6" t="n"/>
    </row>
    <row r="19" ht="18" customHeight="1" s="294">
      <c r="A19" s="273" t="n"/>
      <c r="B19" s="304" t="inlineStr">
        <is>
          <t>供应商确认签章</t>
        </is>
      </c>
      <c r="C19" s="305" t="n"/>
      <c r="D19" s="305" t="n"/>
      <c r="E19" s="306" t="n"/>
      <c r="F19" s="277" t="inlineStr">
        <is>
          <t>生久承认签章</t>
        </is>
      </c>
      <c r="G19" s="6" t="n"/>
    </row>
    <row r="20" ht="18" customHeight="1" s="294">
      <c r="A20" s="278" t="n"/>
      <c r="B20" s="279" t="inlineStr">
        <is>
          <t>联系人</t>
        </is>
      </c>
      <c r="C20" s="279" t="inlineStr">
        <is>
          <t>制作</t>
        </is>
      </c>
      <c r="D20" s="279" t="inlineStr">
        <is>
          <t>审核</t>
        </is>
      </c>
      <c r="E20" s="279" t="inlineStr">
        <is>
          <t>核准</t>
        </is>
      </c>
      <c r="F20" s="307" t="n"/>
      <c r="G20" s="6" t="n"/>
    </row>
    <row r="21" ht="18" customHeight="1" s="294">
      <c r="A21" s="281" t="n"/>
      <c r="B21" s="308" t="n"/>
      <c r="C21" s="308" t="inlineStr">
        <is>
          <t>Leven</t>
        </is>
      </c>
      <c r="D21" s="308" t="inlineStr">
        <is>
          <t>王立均</t>
        </is>
      </c>
      <c r="E21" s="308" t="inlineStr">
        <is>
          <t>张启宇</t>
        </is>
      </c>
      <c r="F21" s="309" t="n"/>
      <c r="G21" s="6" t="n"/>
    </row>
    <row r="22" ht="18" customHeight="1" s="294">
      <c r="A22" s="281" t="n"/>
      <c r="B22" s="309" t="n"/>
      <c r="C22" s="309" t="n"/>
      <c r="D22" s="309" t="n"/>
      <c r="E22" s="309" t="n"/>
      <c r="F22" s="309" t="n"/>
      <c r="G22" s="6" t="n"/>
    </row>
    <row r="23" ht="18" customHeight="1" s="294">
      <c r="A23" s="281" t="n"/>
      <c r="B23" s="309" t="n"/>
      <c r="C23" s="309" t="n"/>
      <c r="D23" s="309" t="n"/>
      <c r="E23" s="309" t="n"/>
      <c r="F23" s="309" t="n"/>
      <c r="G23" s="285" t="n"/>
    </row>
    <row r="24" ht="18" customHeight="1" s="294">
      <c r="A24" s="286" t="n"/>
      <c r="B24" s="309" t="n"/>
      <c r="C24" s="309" t="n"/>
      <c r="D24" s="309" t="n"/>
      <c r="E24" s="309" t="n"/>
      <c r="F24" s="309" t="n"/>
      <c r="G24" s="285" t="n"/>
    </row>
    <row r="25" ht="18" customHeight="1" s="294">
      <c r="A25" s="5" t="n"/>
      <c r="B25" s="310" t="n"/>
      <c r="C25" s="310" t="n"/>
      <c r="D25" s="310" t="n"/>
      <c r="E25" s="310" t="n"/>
      <c r="F25" s="310" t="n"/>
      <c r="G25" s="6" t="n"/>
    </row>
    <row r="26" ht="18" customHeight="1" s="294">
      <c r="A26" s="5" t="n"/>
      <c r="B26" s="289" t="inlineStr">
        <is>
          <t>供应商地址：</t>
        </is>
      </c>
      <c r="C26" s="1" t="n"/>
      <c r="D26" s="1" t="n"/>
      <c r="E26" s="1" t="n"/>
      <c r="F26" s="1" t="n"/>
      <c r="G26" s="6" t="n"/>
    </row>
    <row r="27" ht="18" customHeight="1" s="294">
      <c r="A27" s="5" t="n"/>
      <c r="B27" s="311" t="n"/>
      <c r="C27" s="290" t="inlineStr">
        <is>
          <t>宁波市余姚市大隐镇学士桥村生久老厂房三楼久益电子有限公司</t>
        </is>
      </c>
      <c r="D27" s="301" t="n"/>
      <c r="E27" s="301" t="n"/>
      <c r="F27" s="301" t="n"/>
      <c r="G27" s="6" t="n"/>
    </row>
    <row r="28" ht="18" customHeight="1" s="294">
      <c r="A28" s="5" t="n"/>
      <c r="B28" s="312" t="inlineStr">
        <is>
          <t>供应商电话：</t>
        </is>
      </c>
      <c r="C28" s="292" t="n"/>
      <c r="D28" s="292" t="n"/>
      <c r="E28" s="292" t="n"/>
      <c r="F28" s="292" t="n"/>
      <c r="G28" s="6" t="n"/>
    </row>
    <row r="29" ht="18" customHeight="1" s="294">
      <c r="A29" s="5" t="n"/>
      <c r="B29" s="311" t="n"/>
      <c r="C29" s="290" t="n">
        <v>13486459752</v>
      </c>
      <c r="D29" s="301" t="n"/>
      <c r="E29" s="301" t="n"/>
      <c r="F29" s="301" t="n"/>
      <c r="G29" s="6" t="n"/>
    </row>
    <row r="30" ht="18" customHeight="1" s="294">
      <c r="A30" s="5" t="n"/>
      <c r="B30" s="312" t="inlineStr">
        <is>
          <t>供应商传真：</t>
        </is>
      </c>
      <c r="C30" s="1" t="n"/>
      <c r="D30" s="1" t="n"/>
      <c r="E30" s="1" t="n"/>
      <c r="F30" s="1" t="n"/>
      <c r="G30" s="6" t="n"/>
    </row>
    <row r="31" ht="18" customHeight="1" s="294">
      <c r="A31" s="5" t="n"/>
      <c r="B31" s="311" t="n"/>
      <c r="C31" s="290" t="n"/>
      <c r="D31" s="301" t="n"/>
      <c r="E31" s="301" t="n"/>
      <c r="F31" s="301" t="n"/>
      <c r="G31" s="6" t="n"/>
    </row>
    <row r="32" ht="18" customHeight="1" s="294">
      <c r="A32" s="5" t="n"/>
      <c r="B32" s="312" t="inlineStr">
        <is>
          <t>供应商邮箱：</t>
        </is>
      </c>
      <c r="C32" s="292" t="n"/>
      <c r="D32" s="292" t="n"/>
      <c r="E32" s="292" t="n"/>
      <c r="F32" s="292" t="n"/>
      <c r="G32" s="6" t="n"/>
    </row>
    <row r="33" ht="18" customHeight="1" s="294">
      <c r="A33" s="5" t="n"/>
      <c r="B33" s="311" t="n"/>
      <c r="C33" s="293" t="inlineStr">
        <is>
          <t>joyielec @163.com</t>
        </is>
      </c>
      <c r="D33" s="301" t="n"/>
      <c r="E33" s="301" t="n"/>
      <c r="F33" s="301" t="n"/>
      <c r="G33" s="6" t="n"/>
    </row>
    <row r="34" ht="18" customHeight="1" s="294">
      <c r="A34" s="5" t="n"/>
      <c r="B34" s="1" t="n"/>
      <c r="C34" s="1" t="n"/>
      <c r="D34" s="1" t="n"/>
      <c r="E34" s="1" t="n"/>
      <c r="F34" s="1" t="n"/>
      <c r="G34" s="6" t="n"/>
    </row>
    <row r="35" ht="18" customHeight="1" s="294">
      <c r="A35" s="17" t="n"/>
      <c r="B35" s="18" t="n"/>
      <c r="C35" s="18" t="n"/>
      <c r="D35" s="18" t="n"/>
      <c r="E35" s="18" t="n"/>
      <c r="F35" s="18" t="n"/>
      <c r="G35" s="19" t="n"/>
    </row>
  </sheetData>
  <mergeCells count="22">
    <mergeCell ref="D16:E17"/>
    <mergeCell ref="C21:C25"/>
    <mergeCell ref="D12:E13"/>
    <mergeCell ref="F20:F25"/>
    <mergeCell ref="C33:F33"/>
    <mergeCell ref="D14:E15"/>
    <mergeCell ref="B28:B29"/>
    <mergeCell ref="B16:C17"/>
    <mergeCell ref="E21:E25"/>
    <mergeCell ref="B10:F10"/>
    <mergeCell ref="C29:F29"/>
    <mergeCell ref="D21:D25"/>
    <mergeCell ref="B30:B31"/>
    <mergeCell ref="B4:F9"/>
    <mergeCell ref="B12:C13"/>
    <mergeCell ref="C31:F31"/>
    <mergeCell ref="B32:B33"/>
    <mergeCell ref="B21:B25"/>
    <mergeCell ref="B19:E19"/>
    <mergeCell ref="B14:C15"/>
    <mergeCell ref="C27:F27"/>
    <mergeCell ref="B26:B27"/>
  </mergeCells>
  <pageMargins left="0.5" right="0.19" top="0.31" bottom="0.32" header="0.3" footer="0.3"/>
  <pageSetup orientation="portrait" paperSize="9" scale="96" verticalDpi="120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J25"/>
  <sheetViews>
    <sheetView view="pageBreakPreview" zoomScale="85" zoomScaleNormal="85" workbookViewId="0">
      <selection activeCell="B24" sqref="B24:C24"/>
    </sheetView>
  </sheetViews>
  <sheetFormatPr baseColWidth="8" defaultColWidth="9" defaultRowHeight="17.4"/>
  <cols>
    <col width="8.625" customWidth="1" style="1" min="1" max="1"/>
    <col width="6.625" customWidth="1" style="241" min="2" max="2"/>
    <col width="65.625" customWidth="1" style="1" min="3" max="3"/>
    <col width="8.625" customWidth="1" style="1" min="4" max="5"/>
    <col width="5.125" customWidth="1" style="1" min="6" max="6"/>
    <col width="7.75" customWidth="1" style="1" min="7" max="7"/>
    <col width="5.875" customWidth="1" style="1" min="8" max="8"/>
    <col width="11.375" customWidth="1" style="1" min="9" max="9"/>
    <col width="9" customWidth="1" style="1" min="10" max="16384"/>
  </cols>
  <sheetData>
    <row r="1" ht="18" customHeight="1" s="294">
      <c r="A1" s="2" t="n"/>
      <c r="B1" s="242" t="n"/>
      <c r="C1" s="3" t="n"/>
      <c r="D1" s="4" t="n"/>
    </row>
    <row r="2" ht="18" customHeight="1" s="294">
      <c r="A2" s="5" t="n"/>
      <c r="D2" s="6" t="n"/>
    </row>
    <row r="3" ht="18" customHeight="1" s="294">
      <c r="A3" s="5" t="n"/>
      <c r="D3" s="6" t="n"/>
    </row>
    <row r="4" ht="40.15" customHeight="1" s="294">
      <c r="A4" s="313" t="inlineStr">
        <is>
          <t>宁波生久科技有限公司</t>
        </is>
      </c>
      <c r="D4" s="299" t="n"/>
      <c r="J4" s="245" t="n"/>
    </row>
    <row r="5" ht="28.15" customFormat="1" customHeight="1" s="240">
      <c r="A5" s="314" t="inlineStr">
        <is>
          <t>承认书资料名细表</t>
        </is>
      </c>
      <c r="D5" s="299" t="n"/>
      <c r="F5" s="249" t="n"/>
    </row>
    <row r="6" ht="18" customHeight="1" s="294">
      <c r="A6" s="5" t="n"/>
      <c r="B6" s="250" t="n"/>
      <c r="C6" s="9" t="n"/>
      <c r="D6" s="6" t="n"/>
    </row>
    <row r="7" ht="28.15" customHeight="1" s="294">
      <c r="A7" s="5" t="n"/>
      <c r="B7" s="251" t="n"/>
      <c r="C7" s="9" t="inlineStr">
        <is>
          <t>送样承认书目录-------------------------------1</t>
        </is>
      </c>
      <c r="D7" s="6" t="n"/>
      <c r="I7" s="252" t="n"/>
    </row>
    <row r="8" ht="28.15" customHeight="1" s="294">
      <c r="A8" s="5" t="n"/>
      <c r="B8" s="251" t="n"/>
      <c r="C8" s="9" t="inlineStr">
        <is>
          <t>图纸（生久&amp;供应商）-------------------------2</t>
        </is>
      </c>
      <c r="D8" s="6" t="n"/>
    </row>
    <row r="9" ht="28.15" customHeight="1" s="294">
      <c r="A9" s="5" t="n"/>
      <c r="B9" s="251" t="n"/>
      <c r="C9" s="9" t="inlineStr">
        <is>
          <t>供应商部件承认书-----------------------------3</t>
        </is>
      </c>
      <c r="D9" s="6" t="n"/>
    </row>
    <row r="10" ht="28.15" customHeight="1" s="294">
      <c r="A10" s="5" t="n"/>
      <c r="B10" s="251" t="n"/>
      <c r="C10" s="9" t="inlineStr">
        <is>
          <t>样品照片（多角度）---------------------------4</t>
        </is>
      </c>
      <c r="D10" s="6" t="n"/>
    </row>
    <row r="11" ht="28.15" customHeight="1" s="294">
      <c r="A11" s="5" t="n"/>
      <c r="B11" s="251" t="n"/>
      <c r="C11" s="9" t="inlineStr">
        <is>
          <t>供应商测试报告(FAI)--------------------------5</t>
        </is>
      </c>
      <c r="D11" s="6" t="n"/>
    </row>
    <row r="12" ht="28.15" customHeight="1" s="294">
      <c r="A12" s="5" t="n"/>
      <c r="B12" s="251" t="n"/>
      <c r="C12" s="10" t="inlineStr">
        <is>
          <t>信赖性测试报告-------------------------------6</t>
        </is>
      </c>
      <c r="D12" s="11" t="n"/>
    </row>
    <row r="13" ht="28.15" customHeight="1" s="294">
      <c r="A13" s="5" t="n"/>
      <c r="B13" s="251" t="n"/>
      <c r="C13" s="9" t="inlineStr">
        <is>
          <t>材质成分展开表-------------------------------7</t>
        </is>
      </c>
      <c r="D13" s="6" t="n"/>
    </row>
    <row r="14" ht="28.15" customHeight="1" s="294">
      <c r="A14" s="5" t="n"/>
      <c r="B14" s="251" t="n"/>
      <c r="C14" s="9" t="inlineStr">
        <is>
          <t>材质证明书-----------------------------------8</t>
        </is>
      </c>
      <c r="D14" s="6" t="n"/>
    </row>
    <row r="15" ht="28.15" customHeight="1" s="294">
      <c r="A15" s="5" t="n"/>
      <c r="B15" s="251" t="n"/>
      <c r="C15" s="9" t="inlineStr">
        <is>
          <t>UL证明---------------------------------------9</t>
        </is>
      </c>
      <c r="D15" s="6" t="n"/>
    </row>
    <row r="16" ht="28.15" customHeight="1" s="294">
      <c r="A16" s="5" t="n"/>
      <c r="B16" s="251" t="n"/>
      <c r="C16" s="9" t="inlineStr">
        <is>
          <t>车规级增加资料------------------------------10</t>
        </is>
      </c>
      <c r="D16" s="6" t="n"/>
    </row>
    <row r="17" ht="28.15" customHeight="1" s="294">
      <c r="A17" s="5" t="n"/>
      <c r="B17" s="251" t="n"/>
      <c r="C17" s="9" t="inlineStr">
        <is>
          <t>包装规范------------------------------------11</t>
        </is>
      </c>
      <c r="D17" s="6" t="n"/>
    </row>
    <row r="18" ht="28.15" customHeight="1" s="294">
      <c r="A18" s="5" t="n"/>
      <c r="B18" s="251" t="n"/>
      <c r="C18" s="9" t="inlineStr">
        <is>
          <t>出货报告＆样品-----------------------------12</t>
        </is>
      </c>
      <c r="D18" s="6" t="n"/>
    </row>
    <row r="19" ht="28.15" customHeight="1" s="294">
      <c r="A19" s="5" t="n"/>
      <c r="B19" s="251" t="n"/>
      <c r="C19" s="9" t="n"/>
      <c r="D19" s="6" t="n"/>
    </row>
    <row r="20" ht="28.15" customHeight="1" s="294">
      <c r="A20" s="5" t="n"/>
      <c r="B20" s="251" t="n"/>
      <c r="C20" s="9" t="n"/>
      <c r="D20" s="6" t="n"/>
    </row>
    <row r="21" ht="28.15" customHeight="1" s="294">
      <c r="A21" s="5" t="n"/>
      <c r="B21" s="251" t="n"/>
      <c r="C21" s="9" t="n"/>
      <c r="D21" s="6" t="n"/>
    </row>
    <row r="22" ht="28.15" customHeight="1" s="294">
      <c r="A22" s="5" t="n"/>
      <c r="B22" s="251" t="n"/>
      <c r="C22" s="9" t="n"/>
      <c r="D22" s="6" t="n"/>
    </row>
    <row r="23" ht="28.15" customHeight="1" s="294">
      <c r="A23" s="5" t="n"/>
      <c r="B23" s="251" t="n"/>
      <c r="C23" s="15" t="n"/>
      <c r="D23" s="6" t="n"/>
    </row>
    <row r="24" ht="28.15" customHeight="1" s="294">
      <c r="A24" s="5" t="n"/>
      <c r="B24" s="241" t="inlineStr">
        <is>
          <t>http://www.shengjiu.com/</t>
        </is>
      </c>
      <c r="D24" s="6" t="n"/>
    </row>
    <row r="25" ht="28.15" customHeight="1" s="294">
      <c r="A25" s="17" t="n"/>
      <c r="B25" s="253" t="n"/>
      <c r="C25" s="18" t="n"/>
      <c r="D25" s="19" t="n"/>
    </row>
    <row r="26" ht="18" customHeight="1" s="294"/>
    <row r="27" ht="18" customHeight="1" s="294"/>
    <row r="28" ht="18" customHeight="1" s="294"/>
    <row r="29" ht="37.5" customHeight="1" s="294"/>
    <row r="30" ht="18" customHeight="1" s="294"/>
    <row r="31" ht="18" customHeight="1" s="294"/>
    <row r="32" ht="17.45" customHeight="1" s="294"/>
  </sheetData>
  <mergeCells count="3">
    <mergeCell ref="A5:D5"/>
    <mergeCell ref="B24:C24"/>
    <mergeCell ref="A4:D4"/>
  </mergeCells>
  <hyperlinks>
    <hyperlink xmlns:r="http://schemas.openxmlformats.org/officeDocument/2006/relationships" ref="B24"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3.xml><?xml version="1.0" encoding="utf-8"?>
<worksheet xmlns="http://schemas.openxmlformats.org/spreadsheetml/2006/main">
  <sheetPr codeName="Sheet3">
    <outlinePr summaryBelow="1" summaryRight="1"/>
    <pageSetUpPr/>
  </sheetPr>
  <dimension ref="A4:F30"/>
  <sheetViews>
    <sheetView view="pageBreakPreview" topLeftCell="A10" zoomScale="85" zoomScaleNormal="85" workbookViewId="0">
      <selection activeCell="I23" sqref="I23"/>
    </sheetView>
  </sheetViews>
  <sheetFormatPr baseColWidth="8" defaultColWidth="9" defaultRowHeight="17.4"/>
  <cols>
    <col width="17.125" customWidth="1" style="209" min="1" max="1"/>
    <col width="8.625" customWidth="1" style="210" min="2" max="3"/>
    <col width="60" customWidth="1" style="211" min="4" max="4"/>
    <col width="8.625" customWidth="1" style="210" min="5" max="5"/>
    <col width="11.125" customWidth="1" style="210" min="6" max="6"/>
    <col width="9" customWidth="1" style="210" min="7" max="16384"/>
  </cols>
  <sheetData>
    <row r="4" ht="40.15" customHeight="1" s="294">
      <c r="A4" s="212" t="inlineStr">
        <is>
          <t>宁波生久科技有限公司</t>
        </is>
      </c>
    </row>
    <row r="5" ht="25.15" customHeight="1" s="294">
      <c r="A5" s="213" t="inlineStr">
        <is>
          <t>送样承认书目录</t>
        </is>
      </c>
    </row>
    <row r="6" ht="18" customFormat="1" customHeight="1" s="183">
      <c r="A6" s="214" t="inlineStr">
        <is>
          <t>项目</t>
        </is>
      </c>
      <c r="B6" s="214" t="inlineStr">
        <is>
          <t>NO.</t>
        </is>
      </c>
      <c r="C6" s="214" t="inlineStr">
        <is>
          <t>提交类型</t>
        </is>
      </c>
      <c r="D6" s="214" t="inlineStr">
        <is>
          <t>送样承认书点检项目列表（CHECK ITEM）</t>
        </is>
      </c>
      <c r="E6" s="214" t="inlineStr">
        <is>
          <t>判定</t>
        </is>
      </c>
      <c r="F6" s="214" t="inlineStr">
        <is>
          <t>备注</t>
        </is>
      </c>
    </row>
    <row r="7" ht="34.9" customFormat="1" customHeight="1" s="183">
      <c r="A7" s="215" t="inlineStr">
        <is>
          <t>1.承认书目录</t>
        </is>
      </c>
      <c r="B7" s="214" t="n">
        <v>1.1</v>
      </c>
      <c r="C7" s="214" t="inlineStr">
        <is>
          <t>电子档</t>
        </is>
      </c>
      <c r="D7" s="216" t="inlineStr">
        <is>
          <t>所有项目必须备齐，清晰可辨识，未附资料项目需说明原因                          送样申请方自行审查资料正确性、完整性，确认合格后方可送出</t>
        </is>
      </c>
      <c r="E7" s="214" t="inlineStr">
        <is>
          <t>V</t>
        </is>
      </c>
      <c r="F7" s="214" t="n"/>
    </row>
    <row r="8" ht="34.9" customFormat="1" customHeight="1" s="183">
      <c r="A8" s="217" t="inlineStr">
        <is>
          <t>2.规格图纸</t>
        </is>
      </c>
      <c r="B8" s="214" t="n">
        <v>2.1</v>
      </c>
      <c r="C8" s="214" t="inlineStr">
        <is>
          <t>电子档</t>
        </is>
      </c>
      <c r="D8" s="216" t="inlineStr">
        <is>
          <t>规格图纸必须为收到的最新版本，可接受最新版临时规格送样                      如厂商自行转换图纸，则需附送转化后的厂商图纸以供核对</t>
        </is>
      </c>
      <c r="E8" s="214" t="inlineStr">
        <is>
          <t>V</t>
        </is>
      </c>
      <c r="F8" s="218" t="n"/>
    </row>
    <row r="9" ht="18" customFormat="1" customHeight="1" s="183">
      <c r="A9" s="219" t="inlineStr">
        <is>
          <t>3.材料全尺寸报告</t>
        </is>
      </c>
      <c r="B9" s="214" t="n">
        <v>3.1</v>
      </c>
      <c r="C9" s="214" t="inlineStr">
        <is>
          <t>电子档</t>
        </is>
      </c>
      <c r="D9" s="216" t="inlineStr">
        <is>
          <t>报告格式：可使用各厂商的出货报告，并且数据真实</t>
        </is>
      </c>
      <c r="E9" s="214" t="inlineStr">
        <is>
          <t>V</t>
        </is>
      </c>
      <c r="F9" s="220" t="n"/>
    </row>
    <row r="10" ht="18" customFormat="1" customHeight="1" s="183">
      <c r="A10" s="315" t="n"/>
      <c r="B10" s="214" t="n">
        <v>3.2</v>
      </c>
      <c r="C10" s="214" t="inlineStr">
        <is>
          <t>/</t>
        </is>
      </c>
      <c r="D10" s="216" t="inlineStr">
        <is>
          <t>测试数量：模具品每穴至少测试5pcs数据，非模具品至少测试10pcs数据</t>
        </is>
      </c>
      <c r="E10" s="214" t="inlineStr">
        <is>
          <t>V</t>
        </is>
      </c>
      <c r="F10" s="220" t="n"/>
    </row>
    <row r="11" ht="18" customFormat="1" customHeight="1" s="183">
      <c r="A11" s="315" t="n"/>
      <c r="B11" s="214" t="n">
        <v>3.3</v>
      </c>
      <c r="C11" s="214" t="inlineStr">
        <is>
          <t>/</t>
        </is>
      </c>
      <c r="D11" s="216" t="inlineStr">
        <is>
          <t>重点尺寸：需附FAI＆CPK测试数据（CPK&gt;1.33,车用CPK&gt;1.67）</t>
        </is>
      </c>
      <c r="E11" s="214" t="inlineStr">
        <is>
          <t>V</t>
        </is>
      </c>
      <c r="F11" s="220" t="n"/>
    </row>
    <row r="12" ht="31.2" customFormat="1" customHeight="1" s="183">
      <c r="A12" s="215" t="inlineStr">
        <is>
          <t>4.信赖性测试报告</t>
        </is>
      </c>
      <c r="B12" s="214" t="n">
        <v>4.1</v>
      </c>
      <c r="C12" s="214" t="inlineStr">
        <is>
          <t>电子档</t>
        </is>
      </c>
      <c r="D12" s="216" t="inlineStr">
        <is>
          <t>针对产品信赖性所作的验证报告（例如：盐雾实验，高温高湿，附着力测试，铆合力测试，耐摩擦次数等）</t>
        </is>
      </c>
      <c r="E12" s="214" t="inlineStr">
        <is>
          <t>V</t>
        </is>
      </c>
      <c r="F12" s="214" t="n"/>
    </row>
    <row r="13" ht="31.2" customFormat="1" customHeight="1" s="183">
      <c r="A13" s="217" t="inlineStr">
        <is>
          <t>5.材料成分展开表</t>
        </is>
      </c>
      <c r="B13" s="214" t="n">
        <v>5.1</v>
      </c>
      <c r="C13" s="222" t="inlineStr">
        <is>
          <t>电子档</t>
        </is>
      </c>
      <c r="D13" s="216" t="inlineStr">
        <is>
          <t>使用指定格式《原材料有害物质调查表》，内容与实际用料相同、材料成分与所附送的测试报告相符合，并由责任人签字加盖公司印章</t>
        </is>
      </c>
      <c r="E13" s="214" t="inlineStr">
        <is>
          <t>V</t>
        </is>
      </c>
      <c r="F13" s="214" t="n"/>
    </row>
    <row r="14" ht="33" customFormat="1" customHeight="1" s="183">
      <c r="A14" s="315" t="n"/>
      <c r="B14" s="214" t="n">
        <v>5.2</v>
      </c>
      <c r="C14" s="222" t="inlineStr">
        <is>
          <t>电子档</t>
        </is>
      </c>
      <c r="D14" s="216" t="inlineStr">
        <is>
          <t>环保测试报告有效期为1年，测试值须符合环保规范，有害物质测试项目及其测试方法参考附件SJ-QD-MC-01</t>
        </is>
      </c>
      <c r="E14" s="214" t="inlineStr">
        <is>
          <t>V</t>
        </is>
      </c>
      <c r="F14" s="214" t="n"/>
    </row>
    <row r="15" ht="31.2" customFormat="1" customHeight="1" s="183">
      <c r="A15" s="315" t="n"/>
      <c r="B15" s="214" t="n">
        <v>5.3</v>
      </c>
      <c r="C15" s="222" t="inlineStr">
        <is>
          <t>电子档</t>
        </is>
      </c>
      <c r="D15" s="216" t="inlineStr">
        <is>
          <t>MSDS及环保测试报告中设计的原材料厂商和品牌、材质、型号必须相同，有差异时需要厂商提供厂商间交易关系证明文件，有效期5年</t>
        </is>
      </c>
      <c r="E15" s="214" t="inlineStr">
        <is>
          <t>V</t>
        </is>
      </c>
      <c r="F15" s="214" t="n"/>
    </row>
    <row r="16" ht="31.2" customFormat="1" customHeight="1" s="183">
      <c r="A16" s="216" t="inlineStr">
        <is>
          <t>6.材质证明书</t>
        </is>
      </c>
      <c r="B16" s="224" t="n">
        <v>6.1</v>
      </c>
      <c r="C16" s="224" t="inlineStr">
        <is>
          <t>电子档</t>
        </is>
      </c>
      <c r="D16" s="216" t="inlineStr">
        <is>
          <t>材质证明需包括各化学成分的含量比例、SPEC、测试样品的数据（所测数据需在所规定的SPEC范围内）、抗拉强度、硬度值、延伸率等</t>
        </is>
      </c>
      <c r="E16" s="214" t="inlineStr">
        <is>
          <t>V</t>
        </is>
      </c>
      <c r="F16" s="214" t="n"/>
    </row>
    <row r="17" ht="15.6" customFormat="1" customHeight="1" s="183">
      <c r="A17" s="216" t="inlineStr">
        <is>
          <t>7.安规资料</t>
        </is>
      </c>
      <c r="B17" s="224" t="n">
        <v>7.1</v>
      </c>
      <c r="C17" s="224" t="inlineStr">
        <is>
          <t>电子档</t>
        </is>
      </c>
      <c r="D17" s="216" t="inlineStr">
        <is>
          <t>安规材料需提供UL证书（根据附表--器件类别进行提供）</t>
        </is>
      </c>
      <c r="E17" s="214" t="inlineStr">
        <is>
          <t>V</t>
        </is>
      </c>
      <c r="F17" s="214" t="n"/>
    </row>
    <row r="18" ht="15.6" customFormat="1" customHeight="1" s="183">
      <c r="A18" s="216" t="inlineStr">
        <is>
          <t>*8.工艺流程图</t>
        </is>
      </c>
      <c r="B18" s="224" t="n">
        <v>8.1</v>
      </c>
      <c r="C18" s="224" t="inlineStr">
        <is>
          <t>电子档</t>
        </is>
      </c>
      <c r="D18" s="216" t="inlineStr">
        <is>
          <t>工艺流程图请详细填写，模具品需要附送SIP/SOP及试模报告单</t>
        </is>
      </c>
      <c r="E18" s="214" t="inlineStr">
        <is>
          <t>N/A</t>
        </is>
      </c>
      <c r="F18" s="214" t="inlineStr">
        <is>
          <t>车规级需要</t>
        </is>
      </c>
    </row>
    <row r="19" ht="15.6" customFormat="1" customHeight="1" s="183">
      <c r="A19" s="216" t="inlineStr">
        <is>
          <t>*9.PFMEA</t>
        </is>
      </c>
      <c r="B19" s="224" t="n">
        <v>9.1</v>
      </c>
      <c r="C19" s="224" t="inlineStr">
        <is>
          <t>电子档</t>
        </is>
      </c>
      <c r="D19" s="216" t="inlineStr">
        <is>
          <t>制程失效模式分析（PFMEA）资料需要填写完整、正确、清晰可辨识</t>
        </is>
      </c>
      <c r="E19" s="214" t="inlineStr">
        <is>
          <t>N/A</t>
        </is>
      </c>
      <c r="F19" s="214" t="inlineStr">
        <is>
          <t>车规级需要</t>
        </is>
      </c>
    </row>
    <row r="20" ht="15.6" customFormat="1" customHeight="1" s="183">
      <c r="A20" s="216" t="inlineStr">
        <is>
          <t>*10.控制计划</t>
        </is>
      </c>
      <c r="B20" s="224" t="n">
        <v>10.1</v>
      </c>
      <c r="C20" s="224" t="inlineStr">
        <is>
          <t>电子档</t>
        </is>
      </c>
      <c r="D20" s="216" t="inlineStr">
        <is>
          <t>对控制产品所要求的系统及过程的形成文件的描述</t>
        </is>
      </c>
      <c r="E20" s="214" t="inlineStr">
        <is>
          <t>N/A</t>
        </is>
      </c>
      <c r="F20" s="214" t="inlineStr">
        <is>
          <t>车规级需要</t>
        </is>
      </c>
    </row>
    <row r="21">
      <c r="A21" s="216" t="inlineStr">
        <is>
          <t>*11.MSA分析报告</t>
        </is>
      </c>
      <c r="B21" s="224" t="n">
        <v>11.1</v>
      </c>
      <c r="C21" s="224" t="inlineStr">
        <is>
          <t>电子档</t>
        </is>
      </c>
      <c r="D21" s="216" t="inlineStr">
        <is>
          <t>测量系统分析报告（MSA）资料需要填写完整、正确、清晰可辨识</t>
        </is>
      </c>
      <c r="E21" s="214" t="inlineStr">
        <is>
          <t>N/A</t>
        </is>
      </c>
      <c r="F21" s="214" t="inlineStr">
        <is>
          <t>车规级需要</t>
        </is>
      </c>
    </row>
    <row r="22">
      <c r="A22" s="216" t="inlineStr">
        <is>
          <t>*12.SPC分析报告</t>
        </is>
      </c>
      <c r="B22" s="224" t="n">
        <v>12.1</v>
      </c>
      <c r="C22" s="224" t="inlineStr">
        <is>
          <t>电子档</t>
        </is>
      </c>
      <c r="D22" s="216" t="inlineStr">
        <is>
          <t>过程能力分析报告（SPC）资料需要填写完整、正确、清晰可辨识</t>
        </is>
      </c>
      <c r="E22" s="214" t="inlineStr">
        <is>
          <t>N/A</t>
        </is>
      </c>
      <c r="F22" s="214" t="inlineStr">
        <is>
          <t>车规级需要</t>
        </is>
      </c>
    </row>
    <row r="23" ht="46.8" customHeight="1" s="294">
      <c r="A23" s="216" t="inlineStr">
        <is>
          <t>13.包装规范</t>
        </is>
      </c>
      <c r="B23" s="224" t="n">
        <v>13.1</v>
      </c>
      <c r="C23" s="224" t="inlineStr">
        <is>
          <t>电子档</t>
        </is>
      </c>
      <c r="D23" s="216" t="inlineStr">
        <is>
          <t>目标保证原料不受挤压、撞击等导致变形和损坏，要附件图片说明               包装实验（一角，三棱，六面落地实验）和运输实验，以确保产品运送工程中不会变形失效</t>
        </is>
      </c>
      <c r="E23" s="214" t="inlineStr">
        <is>
          <t>V</t>
        </is>
      </c>
      <c r="F23" s="225" t="n"/>
    </row>
    <row r="24">
      <c r="A24" s="216" t="inlineStr">
        <is>
          <t>14.送样样品</t>
        </is>
      </c>
      <c r="B24" s="224" t="n">
        <v>14.1</v>
      </c>
      <c r="C24" s="224" t="inlineStr">
        <is>
          <t>电子档</t>
        </is>
      </c>
      <c r="D24" s="216" t="inlineStr">
        <is>
          <t>普通件样品20pcs，模具品每模穴5~10pcs，参考《送样数量清单》</t>
        </is>
      </c>
      <c r="E24" s="214" t="inlineStr">
        <is>
          <t>V</t>
        </is>
      </c>
      <c r="F24" s="227" t="n"/>
    </row>
    <row r="25">
      <c r="A25" s="315" t="n"/>
      <c r="B25" s="224" t="n">
        <v>14.2</v>
      </c>
      <c r="C25" s="315" t="n"/>
      <c r="D25" s="216" t="inlineStr">
        <is>
          <t>样品为生产随机抽取，不可以使用挑选方式送样，以代表量产品质水准</t>
        </is>
      </c>
      <c r="E25" s="214" t="inlineStr">
        <is>
          <t>V</t>
        </is>
      </c>
      <c r="F25" s="227" t="n"/>
    </row>
    <row r="26">
      <c r="A26" s="315" t="n"/>
      <c r="B26" s="224" t="n">
        <v>14.3</v>
      </c>
      <c r="C26" s="315" t="n"/>
      <c r="D26" s="216" t="inlineStr">
        <is>
          <t>PWB需要附带菲林+切片报告+OSP膜厚报告，送样样本数量5连片</t>
        </is>
      </c>
      <c r="E26" s="225" t="inlineStr">
        <is>
          <t>N/A</t>
        </is>
      </c>
      <c r="F26" s="227" t="n"/>
    </row>
    <row r="27" ht="31.2" customHeight="1" s="294">
      <c r="A27" s="316" t="n"/>
      <c r="B27" s="224" t="n">
        <v>14.4</v>
      </c>
      <c r="C27" s="316" t="n"/>
      <c r="D27" s="216" t="inlineStr">
        <is>
          <t>承认书增加实物彩色照片（正反各一张，要求清晰可辨识）与秤单重照片，单重测试值需清晰可见</t>
        </is>
      </c>
      <c r="E27" s="214" t="inlineStr">
        <is>
          <t>V</t>
        </is>
      </c>
      <c r="F27" s="227" t="n"/>
    </row>
    <row r="28" ht="51" customHeight="1" s="294">
      <c r="A28" s="216" t="inlineStr">
        <is>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is>
      </c>
      <c r="B28" s="305" t="n"/>
      <c r="C28" s="305" t="n"/>
      <c r="D28" s="305" t="n"/>
      <c r="E28" s="305" t="n"/>
      <c r="F28" s="306" t="n"/>
    </row>
    <row r="29">
      <c r="A29" s="224" t="inlineStr">
        <is>
          <t>料号</t>
        </is>
      </c>
      <c r="B29" s="224" t="inlineStr">
        <is>
          <t>厂商</t>
        </is>
      </c>
      <c r="C29" s="306" t="n"/>
      <c r="D29" s="224" t="inlineStr">
        <is>
          <t>是否为车规</t>
        </is>
      </c>
      <c r="E29" s="225" t="inlineStr">
        <is>
          <t>制定</t>
        </is>
      </c>
      <c r="F29" s="225" t="inlineStr">
        <is>
          <t>核准</t>
        </is>
      </c>
    </row>
    <row r="30">
      <c r="A30" s="236" t="n"/>
      <c r="B30" s="225" t="inlineStr">
        <is>
          <t>久益</t>
        </is>
      </c>
      <c r="C30" s="306" t="n"/>
      <c r="D30" s="239" t="inlineStr">
        <is>
          <t>否</t>
        </is>
      </c>
      <c r="E30" s="225" t="inlineStr">
        <is>
          <t>Leven</t>
        </is>
      </c>
      <c r="F30" s="225" t="inlineStr">
        <is>
          <t>王立均</t>
        </is>
      </c>
    </row>
  </sheetData>
  <mergeCells count="9">
    <mergeCell ref="B30:C30"/>
    <mergeCell ref="A28:F28"/>
    <mergeCell ref="B29:C29"/>
    <mergeCell ref="A5:F5"/>
    <mergeCell ref="A4:F4"/>
    <mergeCell ref="A24:A27"/>
    <mergeCell ref="C24:C27"/>
    <mergeCell ref="A9:A11"/>
    <mergeCell ref="A13:A15"/>
  </mergeCells>
  <pageMargins left="0.75" right="0.75" top="1" bottom="1" header="0.511805555555556" footer="0.511805555555556"/>
  <pageSetup orientation="portrait" paperSize="9" scale="71"/>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A1:N51"/>
  <sheetViews>
    <sheetView workbookViewId="0">
      <pane ySplit="2" topLeftCell="A9" activePane="bottomLeft" state="frozen"/>
      <selection activeCell="A1" sqref="A1"/>
      <selection pane="bottomLeft" activeCell="D17" sqref="D17:L24"/>
    </sheetView>
  </sheetViews>
  <sheetFormatPr baseColWidth="8" defaultColWidth="9" defaultRowHeight="15.6"/>
  <cols>
    <col width="13.125" customWidth="1" style="185" min="1" max="1"/>
    <col width="9" customWidth="1" style="186" min="2" max="2"/>
    <col width="19.25" customWidth="1" style="187" min="3" max="3"/>
    <col width="12.625" customWidth="1" style="187" min="4" max="4"/>
    <col width="18.625" customWidth="1" style="187" min="5" max="5"/>
    <col width="13.625" customWidth="1" style="187" min="6" max="7"/>
    <col width="10.625" customWidth="1" style="187" min="8" max="12"/>
    <col width="17.875" customWidth="1" style="188" min="13" max="13"/>
    <col width="24.625" customWidth="1" style="186" min="14" max="14"/>
    <col width="9" customWidth="1" style="186" min="15" max="16384"/>
  </cols>
  <sheetData>
    <row r="1" ht="30" customFormat="1" customHeight="1" s="184">
      <c r="A1" s="189" t="inlineStr">
        <is>
          <t>物料首次承认＆系列承认之细则</t>
        </is>
      </c>
    </row>
    <row r="2" ht="35.1" customHeight="1" s="294">
      <c r="A2" s="190" t="inlineStr">
        <is>
          <t>类别</t>
        </is>
      </c>
      <c r="B2" s="190" t="inlineStr">
        <is>
          <t>序号</t>
        </is>
      </c>
      <c r="C2" s="190" t="inlineStr">
        <is>
          <t>名称</t>
        </is>
      </c>
      <c r="D2" s="190" t="inlineStr">
        <is>
          <t>图纸＆规格书</t>
        </is>
      </c>
      <c r="E2" s="190" t="inlineStr">
        <is>
          <t>全尺寸(FAI)检测报告</t>
        </is>
      </c>
      <c r="F2" s="190" t="inlineStr">
        <is>
          <t>信赖性测试报告</t>
        </is>
      </c>
      <c r="G2" s="190" t="inlineStr">
        <is>
          <t>材料成分展开表</t>
        </is>
      </c>
      <c r="H2" s="190" t="inlineStr">
        <is>
          <t>材质证明书</t>
        </is>
      </c>
      <c r="I2" s="190" t="inlineStr">
        <is>
          <t>安规资料</t>
        </is>
      </c>
      <c r="J2" s="190" t="inlineStr">
        <is>
          <t>车规资料</t>
        </is>
      </c>
      <c r="K2" s="190" t="inlineStr">
        <is>
          <t>包装规范</t>
        </is>
      </c>
      <c r="L2" s="190" t="inlineStr">
        <is>
          <t>样品</t>
        </is>
      </c>
      <c r="M2" s="191" t="inlineStr">
        <is>
          <t>样品数量（≥PCS）
模具品优先满足模穴号</t>
        </is>
      </c>
      <c r="N2" s="190" t="inlineStr">
        <is>
          <t>备注</t>
        </is>
      </c>
    </row>
    <row r="3" ht="15" customHeight="1" s="294">
      <c r="A3" s="192" t="inlineStr">
        <is>
          <t>关键器件</t>
        </is>
      </c>
      <c r="B3" s="190" t="n">
        <v>1</v>
      </c>
      <c r="C3" s="190" t="inlineStr">
        <is>
          <t>扇框</t>
        </is>
      </c>
      <c r="D3" s="190" t="inlineStr">
        <is>
          <t>V</t>
        </is>
      </c>
      <c r="E3" s="190" t="inlineStr">
        <is>
          <t>V</t>
        </is>
      </c>
      <c r="F3" s="190" t="inlineStr">
        <is>
          <t>V</t>
        </is>
      </c>
      <c r="G3" s="190" t="inlineStr">
        <is>
          <t>V</t>
        </is>
      </c>
      <c r="H3" s="190" t="inlineStr">
        <is>
          <t>V</t>
        </is>
      </c>
      <c r="I3" s="190" t="inlineStr">
        <is>
          <t>V</t>
        </is>
      </c>
      <c r="J3" s="194" t="inlineStr">
        <is>
          <t>需
求
时
提
供</t>
        </is>
      </c>
      <c r="K3" s="190" t="inlineStr">
        <is>
          <t>V</t>
        </is>
      </c>
      <c r="L3" s="190" t="inlineStr">
        <is>
          <t>V</t>
        </is>
      </c>
      <c r="M3" s="194" t="n">
        <v>7</v>
      </c>
      <c r="N3" s="190" t="inlineStr">
        <is>
          <t>金属类无需提供安规</t>
        </is>
      </c>
    </row>
    <row r="4" ht="15" customHeight="1" s="294">
      <c r="A4" s="315" t="n"/>
      <c r="B4" s="190" t="n">
        <v>2</v>
      </c>
      <c r="C4" s="190" t="inlineStr">
        <is>
          <t>扇叶</t>
        </is>
      </c>
      <c r="D4" s="190" t="inlineStr">
        <is>
          <t>V</t>
        </is>
      </c>
      <c r="E4" s="190" t="inlineStr">
        <is>
          <t>V</t>
        </is>
      </c>
      <c r="F4" s="190" t="inlineStr">
        <is>
          <t>V</t>
        </is>
      </c>
      <c r="G4" s="190" t="inlineStr">
        <is>
          <t>V</t>
        </is>
      </c>
      <c r="H4" s="190" t="inlineStr">
        <is>
          <t>V</t>
        </is>
      </c>
      <c r="I4" s="190" t="inlineStr">
        <is>
          <t>V</t>
        </is>
      </c>
      <c r="J4" s="315" t="n"/>
      <c r="K4" s="190" t="inlineStr">
        <is>
          <t>V</t>
        </is>
      </c>
      <c r="L4" s="190" t="inlineStr">
        <is>
          <t>V</t>
        </is>
      </c>
      <c r="M4" s="194" t="n">
        <v>7</v>
      </c>
      <c r="N4" s="190" t="inlineStr">
        <is>
          <t>金属类无需提供安规</t>
        </is>
      </c>
    </row>
    <row r="5" ht="15" customHeight="1" s="294">
      <c r="A5" s="315" t="n"/>
      <c r="B5" s="190" t="n">
        <v>3</v>
      </c>
      <c r="C5" s="190" t="inlineStr">
        <is>
          <t>铜中管</t>
        </is>
      </c>
      <c r="D5" s="190" t="inlineStr">
        <is>
          <t>V</t>
        </is>
      </c>
      <c r="E5" s="190" t="inlineStr">
        <is>
          <t>V</t>
        </is>
      </c>
      <c r="F5" s="190" t="inlineStr">
        <is>
          <t>V</t>
        </is>
      </c>
      <c r="G5" s="190" t="inlineStr">
        <is>
          <t>V</t>
        </is>
      </c>
      <c r="H5" s="190" t="inlineStr">
        <is>
          <t>V</t>
        </is>
      </c>
      <c r="I5" s="190" t="inlineStr">
        <is>
          <t>NA</t>
        </is>
      </c>
      <c r="J5" s="315" t="n"/>
      <c r="K5" s="190" t="inlineStr">
        <is>
          <t>V</t>
        </is>
      </c>
      <c r="L5" s="190" t="inlineStr">
        <is>
          <t>V</t>
        </is>
      </c>
      <c r="M5" s="194" t="n">
        <v>5</v>
      </c>
      <c r="N5" s="190" t="n"/>
    </row>
    <row r="6" ht="15" customHeight="1" s="294">
      <c r="A6" s="315" t="n"/>
      <c r="B6" s="190" t="n">
        <v>4</v>
      </c>
      <c r="C6" s="190" t="inlineStr">
        <is>
          <t>铁中管</t>
        </is>
      </c>
      <c r="D6" s="190" t="inlineStr">
        <is>
          <t>V</t>
        </is>
      </c>
      <c r="E6" s="190" t="inlineStr">
        <is>
          <t>V</t>
        </is>
      </c>
      <c r="F6" s="190" t="inlineStr">
        <is>
          <t>NA</t>
        </is>
      </c>
      <c r="G6" s="190" t="inlineStr">
        <is>
          <t>V</t>
        </is>
      </c>
      <c r="H6" s="190" t="inlineStr">
        <is>
          <t>V</t>
        </is>
      </c>
      <c r="I6" s="190" t="inlineStr">
        <is>
          <t>NA</t>
        </is>
      </c>
      <c r="J6" s="315" t="n"/>
      <c r="K6" s="190" t="inlineStr">
        <is>
          <t>V</t>
        </is>
      </c>
      <c r="L6" s="190" t="inlineStr">
        <is>
          <t>V</t>
        </is>
      </c>
      <c r="M6" s="194" t="n">
        <v>5</v>
      </c>
      <c r="N6" s="190" t="n"/>
    </row>
    <row r="7" ht="15" customHeight="1" s="294">
      <c r="A7" s="315" t="n"/>
      <c r="B7" s="190" t="n">
        <v>5</v>
      </c>
      <c r="C7" s="190" t="inlineStr">
        <is>
          <t>轴芯</t>
        </is>
      </c>
      <c r="D7" s="190" t="inlineStr">
        <is>
          <t>V</t>
        </is>
      </c>
      <c r="E7" s="190" t="inlineStr">
        <is>
          <t>V</t>
        </is>
      </c>
      <c r="F7" s="190" t="inlineStr">
        <is>
          <t>V</t>
        </is>
      </c>
      <c r="G7" s="190" t="inlineStr">
        <is>
          <t>V</t>
        </is>
      </c>
      <c r="H7" s="190" t="inlineStr">
        <is>
          <t>V</t>
        </is>
      </c>
      <c r="I7" s="190" t="inlineStr">
        <is>
          <t>NA</t>
        </is>
      </c>
      <c r="J7" s="315" t="n"/>
      <c r="K7" s="190" t="inlineStr">
        <is>
          <t>V</t>
        </is>
      </c>
      <c r="L7" s="190" t="inlineStr">
        <is>
          <t>V</t>
        </is>
      </c>
      <c r="M7" s="194" t="n">
        <v>5</v>
      </c>
      <c r="N7" s="190" t="n"/>
    </row>
    <row r="8" ht="15" customHeight="1" s="294">
      <c r="A8" s="315" t="n"/>
      <c r="B8" s="190" t="n">
        <v>6</v>
      </c>
      <c r="C8" s="190" t="inlineStr">
        <is>
          <t>轴套</t>
        </is>
      </c>
      <c r="D8" s="190" t="inlineStr">
        <is>
          <t>V</t>
        </is>
      </c>
      <c r="E8" s="190" t="inlineStr">
        <is>
          <t>V</t>
        </is>
      </c>
      <c r="F8" s="190" t="inlineStr">
        <is>
          <t>V</t>
        </is>
      </c>
      <c r="G8" s="190" t="inlineStr">
        <is>
          <t>V</t>
        </is>
      </c>
      <c r="H8" s="190" t="inlineStr">
        <is>
          <t>V</t>
        </is>
      </c>
      <c r="I8" s="190" t="inlineStr">
        <is>
          <t>NA</t>
        </is>
      </c>
      <c r="J8" s="315" t="n"/>
      <c r="K8" s="190" t="inlineStr">
        <is>
          <t>V</t>
        </is>
      </c>
      <c r="L8" s="190" t="inlineStr">
        <is>
          <t>V</t>
        </is>
      </c>
      <c r="M8" s="194" t="n">
        <v>5</v>
      </c>
      <c r="N8" s="190" t="n"/>
    </row>
    <row r="9" ht="15" customHeight="1" s="294">
      <c r="A9" s="315" t="n"/>
      <c r="B9" s="190" t="n">
        <v>7</v>
      </c>
      <c r="C9" s="190" t="inlineStr">
        <is>
          <t>马达壳</t>
        </is>
      </c>
      <c r="D9" s="190" t="inlineStr">
        <is>
          <t>V</t>
        </is>
      </c>
      <c r="E9" s="190" t="inlineStr">
        <is>
          <t>V</t>
        </is>
      </c>
      <c r="F9" s="190" t="inlineStr">
        <is>
          <t>V</t>
        </is>
      </c>
      <c r="G9" s="190" t="inlineStr">
        <is>
          <t>V</t>
        </is>
      </c>
      <c r="H9" s="190" t="inlineStr">
        <is>
          <t>V</t>
        </is>
      </c>
      <c r="I9" s="190" t="inlineStr">
        <is>
          <t>NA</t>
        </is>
      </c>
      <c r="J9" s="315" t="n"/>
      <c r="K9" s="190" t="inlineStr">
        <is>
          <t>V</t>
        </is>
      </c>
      <c r="L9" s="190" t="inlineStr">
        <is>
          <t>V</t>
        </is>
      </c>
      <c r="M9" s="194" t="n">
        <v>8</v>
      </c>
      <c r="N9" s="190" t="n"/>
    </row>
    <row r="10" ht="15" customHeight="1" s="294">
      <c r="A10" s="315" t="n"/>
      <c r="B10" s="190" t="n">
        <v>8</v>
      </c>
      <c r="C10" s="190" t="inlineStr">
        <is>
          <t>磁性材料</t>
        </is>
      </c>
      <c r="D10" s="190" t="inlineStr">
        <is>
          <t>V</t>
        </is>
      </c>
      <c r="E10" s="190" t="inlineStr">
        <is>
          <t>V</t>
        </is>
      </c>
      <c r="F10" s="190" t="inlineStr">
        <is>
          <t>V</t>
        </is>
      </c>
      <c r="G10" s="190" t="inlineStr">
        <is>
          <t>V</t>
        </is>
      </c>
      <c r="H10" s="190" t="inlineStr">
        <is>
          <t>V</t>
        </is>
      </c>
      <c r="I10" s="190" t="inlineStr">
        <is>
          <t>NA</t>
        </is>
      </c>
      <c r="J10" s="315" t="n"/>
      <c r="K10" s="190" t="inlineStr">
        <is>
          <t>V</t>
        </is>
      </c>
      <c r="L10" s="190" t="inlineStr">
        <is>
          <t>V</t>
        </is>
      </c>
      <c r="M10" s="194" t="n">
        <v>45</v>
      </c>
      <c r="N10" s="190" t="n"/>
    </row>
    <row r="11" ht="15" customHeight="1" s="294">
      <c r="A11" s="315" t="n"/>
      <c r="B11" s="190" t="n">
        <v>9</v>
      </c>
      <c r="C11" s="190" t="inlineStr">
        <is>
          <t>导线</t>
        </is>
      </c>
      <c r="D11" s="190" t="inlineStr">
        <is>
          <t>V</t>
        </is>
      </c>
      <c r="E11" s="190" t="inlineStr">
        <is>
          <t>V</t>
        </is>
      </c>
      <c r="F11" s="190" t="inlineStr">
        <is>
          <t>V</t>
        </is>
      </c>
      <c r="G11" s="190" t="inlineStr">
        <is>
          <t>V</t>
        </is>
      </c>
      <c r="H11" s="190" t="inlineStr">
        <is>
          <t>V</t>
        </is>
      </c>
      <c r="I11" s="190" t="inlineStr">
        <is>
          <t>V</t>
        </is>
      </c>
      <c r="J11" s="315" t="n"/>
      <c r="K11" s="190" t="inlineStr">
        <is>
          <t>V</t>
        </is>
      </c>
      <c r="L11" s="190" t="inlineStr">
        <is>
          <t>V</t>
        </is>
      </c>
      <c r="M11" s="194" t="n">
        <v>5</v>
      </c>
      <c r="N11" s="190" t="n"/>
    </row>
    <row r="12" ht="15" customHeight="1" s="294">
      <c r="A12" s="315" t="n"/>
      <c r="B12" s="190" t="n">
        <v>10</v>
      </c>
      <c r="C12" s="190" t="inlineStr">
        <is>
          <t>漆包线</t>
        </is>
      </c>
      <c r="D12" s="190" t="inlineStr">
        <is>
          <t>V</t>
        </is>
      </c>
      <c r="E12" s="190" t="inlineStr">
        <is>
          <t>V</t>
        </is>
      </c>
      <c r="F12" s="190" t="inlineStr">
        <is>
          <t>V</t>
        </is>
      </c>
      <c r="G12" s="190" t="inlineStr">
        <is>
          <t>V</t>
        </is>
      </c>
      <c r="H12" s="190" t="inlineStr">
        <is>
          <t>V</t>
        </is>
      </c>
      <c r="I12" s="190" t="inlineStr">
        <is>
          <t>V</t>
        </is>
      </c>
      <c r="J12" s="315" t="n"/>
      <c r="K12" s="190" t="inlineStr">
        <is>
          <t>V</t>
        </is>
      </c>
      <c r="L12" s="190" t="inlineStr">
        <is>
          <t>V</t>
        </is>
      </c>
      <c r="M12" s="194" t="inlineStr">
        <is>
          <t>2Kg</t>
        </is>
      </c>
      <c r="N12" s="190" t="n"/>
    </row>
    <row r="13" ht="15" customHeight="1" s="294">
      <c r="A13" s="315" t="n"/>
      <c r="B13" s="190" t="n">
        <v>11</v>
      </c>
      <c r="C13" s="190" t="inlineStr">
        <is>
          <t>矽钢片</t>
        </is>
      </c>
      <c r="D13" s="190" t="inlineStr">
        <is>
          <t>V</t>
        </is>
      </c>
      <c r="E13" s="190" t="inlineStr">
        <is>
          <t>V</t>
        </is>
      </c>
      <c r="F13" s="190" t="inlineStr">
        <is>
          <t>V</t>
        </is>
      </c>
      <c r="G13" s="190" t="inlineStr">
        <is>
          <t>V</t>
        </is>
      </c>
      <c r="H13" s="190" t="inlineStr">
        <is>
          <t>V</t>
        </is>
      </c>
      <c r="I13" s="190" t="inlineStr">
        <is>
          <t>NA</t>
        </is>
      </c>
      <c r="J13" s="315" t="n"/>
      <c r="K13" s="190" t="inlineStr">
        <is>
          <t>V</t>
        </is>
      </c>
      <c r="L13" s="190" t="inlineStr">
        <is>
          <t>V</t>
        </is>
      </c>
      <c r="M13" s="194" t="n">
        <v>8</v>
      </c>
      <c r="N13" s="190" t="inlineStr">
        <is>
          <t>两者适配性验证</t>
        </is>
      </c>
    </row>
    <row r="14" ht="15" customHeight="1" s="294">
      <c r="A14" s="315" t="n"/>
      <c r="B14" s="190" t="n">
        <v>12</v>
      </c>
      <c r="C14" s="190" t="inlineStr">
        <is>
          <t>线架</t>
        </is>
      </c>
      <c r="D14" s="190" t="inlineStr">
        <is>
          <t>V</t>
        </is>
      </c>
      <c r="E14" s="190" t="inlineStr">
        <is>
          <t>V</t>
        </is>
      </c>
      <c r="F14" s="190" t="inlineStr">
        <is>
          <t>V</t>
        </is>
      </c>
      <c r="G14" s="190" t="inlineStr">
        <is>
          <t>V</t>
        </is>
      </c>
      <c r="H14" s="190" t="inlineStr">
        <is>
          <t>V</t>
        </is>
      </c>
      <c r="I14" s="190" t="inlineStr">
        <is>
          <t>V</t>
        </is>
      </c>
      <c r="J14" s="315" t="n"/>
      <c r="K14" s="190" t="inlineStr">
        <is>
          <t>V</t>
        </is>
      </c>
      <c r="L14" s="190" t="inlineStr">
        <is>
          <t>V</t>
        </is>
      </c>
      <c r="M14" s="194" t="n">
        <v>8</v>
      </c>
      <c r="N14" s="316" t="n"/>
    </row>
    <row r="15" ht="15" customHeight="1" s="294">
      <c r="A15" s="315" t="n"/>
      <c r="B15" s="190" t="n">
        <v>13</v>
      </c>
      <c r="C15" s="190" t="inlineStr">
        <is>
          <t>包射矽钢片</t>
        </is>
      </c>
      <c r="D15" s="190" t="inlineStr">
        <is>
          <t>V</t>
        </is>
      </c>
      <c r="E15" s="190" t="inlineStr">
        <is>
          <t>V</t>
        </is>
      </c>
      <c r="F15" s="190" t="inlineStr">
        <is>
          <t>V</t>
        </is>
      </c>
      <c r="G15" s="190" t="inlineStr">
        <is>
          <t>V</t>
        </is>
      </c>
      <c r="H15" s="190" t="inlineStr">
        <is>
          <t>V</t>
        </is>
      </c>
      <c r="I15" s="190" t="inlineStr">
        <is>
          <t>V</t>
        </is>
      </c>
      <c r="J15" s="315" t="n"/>
      <c r="K15" s="190" t="inlineStr">
        <is>
          <t>V</t>
        </is>
      </c>
      <c r="L15" s="190" t="inlineStr">
        <is>
          <t>V</t>
        </is>
      </c>
      <c r="M15" s="194" t="n">
        <v>8</v>
      </c>
      <c r="N15" s="190" t="n"/>
    </row>
    <row r="16" ht="15" customHeight="1" s="294">
      <c r="A16" s="315" t="n"/>
      <c r="B16" s="190" t="n">
        <v>14</v>
      </c>
      <c r="C16" s="190" t="inlineStr">
        <is>
          <t>轴承</t>
        </is>
      </c>
      <c r="D16" s="190" t="inlineStr">
        <is>
          <t>V</t>
        </is>
      </c>
      <c r="E16" s="190" t="inlineStr">
        <is>
          <t>V</t>
        </is>
      </c>
      <c r="F16" s="190" t="inlineStr">
        <is>
          <t>V</t>
        </is>
      </c>
      <c r="G16" s="190" t="inlineStr">
        <is>
          <t>V</t>
        </is>
      </c>
      <c r="H16" s="190" t="inlineStr">
        <is>
          <t>V</t>
        </is>
      </c>
      <c r="I16" s="190" t="inlineStr">
        <is>
          <t>NA</t>
        </is>
      </c>
      <c r="J16" s="316" t="n"/>
      <c r="K16" s="190" t="inlineStr">
        <is>
          <t>V</t>
        </is>
      </c>
      <c r="L16" s="190" t="inlineStr">
        <is>
          <t>V</t>
        </is>
      </c>
      <c r="M16" s="194" t="n">
        <v>200</v>
      </c>
      <c r="N16" s="190" t="n"/>
    </row>
    <row r="17" ht="15" customHeight="1" s="294">
      <c r="A17" s="315" t="n"/>
      <c r="B17" s="190" t="n">
        <v>15</v>
      </c>
      <c r="C17" s="190" t="inlineStr">
        <is>
          <t>PCB</t>
        </is>
      </c>
      <c r="D17" s="190" t="inlineStr">
        <is>
          <t>具体参照《***评估承认规范》（例如：IC类评估承认规范）</t>
        </is>
      </c>
      <c r="E17" s="317" t="n"/>
      <c r="F17" s="317" t="n"/>
      <c r="G17" s="317" t="n"/>
      <c r="H17" s="317" t="n"/>
      <c r="I17" s="317" t="n"/>
      <c r="J17" s="317" t="n"/>
      <c r="K17" s="317" t="n"/>
      <c r="L17" s="318" t="n"/>
      <c r="M17" s="194" t="inlineStr">
        <is>
          <t>5连片</t>
        </is>
      </c>
      <c r="N17" s="190" t="inlineStr">
        <is>
          <t>快板只承认供应商即可</t>
        </is>
      </c>
    </row>
    <row r="18" ht="15" customHeight="1" s="294">
      <c r="A18" s="315" t="n"/>
      <c r="B18" s="190" t="n">
        <v>16</v>
      </c>
      <c r="C18" s="190" t="inlineStr">
        <is>
          <t>IC类</t>
        </is>
      </c>
      <c r="D18" s="319" t="n"/>
      <c r="L18" s="320" t="n"/>
      <c r="M18" s="194" t="n">
        <v>10</v>
      </c>
      <c r="N18" s="190" t="n"/>
    </row>
    <row r="19" ht="15" customHeight="1" s="294">
      <c r="A19" s="315" t="n"/>
      <c r="B19" s="190" t="n">
        <v>17</v>
      </c>
      <c r="C19" s="190" t="inlineStr">
        <is>
          <t>二极管类</t>
        </is>
      </c>
      <c r="D19" s="319" t="n"/>
      <c r="L19" s="320" t="n"/>
      <c r="M19" s="194" t="n">
        <v>10</v>
      </c>
      <c r="N19" s="190" t="n"/>
    </row>
    <row r="20" ht="15" customHeight="1" s="294">
      <c r="A20" s="315" t="n"/>
      <c r="B20" s="190" t="n">
        <v>18</v>
      </c>
      <c r="C20" s="190" t="inlineStr">
        <is>
          <t>MOS类</t>
        </is>
      </c>
      <c r="D20" s="319" t="n"/>
      <c r="L20" s="320" t="n"/>
      <c r="M20" s="194" t="n">
        <v>10</v>
      </c>
      <c r="N20" s="190" t="n"/>
    </row>
    <row r="21" ht="15" customHeight="1" s="294">
      <c r="A21" s="315" t="n"/>
      <c r="B21" s="190" t="n">
        <v>19</v>
      </c>
      <c r="C21" s="190" t="inlineStr">
        <is>
          <t>电解电容类</t>
        </is>
      </c>
      <c r="D21" s="319" t="n"/>
      <c r="L21" s="320" t="n"/>
      <c r="M21" s="194" t="n">
        <v>10</v>
      </c>
      <c r="N21" s="190" t="n"/>
    </row>
    <row r="22" ht="15" customHeight="1" s="294">
      <c r="A22" s="315" t="n"/>
      <c r="B22" s="190" t="n">
        <v>20</v>
      </c>
      <c r="C22" s="190" t="inlineStr">
        <is>
          <t>电感类</t>
        </is>
      </c>
      <c r="D22" s="319" t="n"/>
      <c r="L22" s="320" t="n"/>
      <c r="M22" s="194" t="n">
        <v>10</v>
      </c>
      <c r="N22" s="190" t="n"/>
    </row>
    <row r="23" ht="15" customHeight="1" s="294">
      <c r="A23" s="315" t="n"/>
      <c r="B23" s="190" t="n">
        <v>21</v>
      </c>
      <c r="C23" s="190" t="inlineStr">
        <is>
          <t>MLCC电容类</t>
        </is>
      </c>
      <c r="D23" s="319" t="n"/>
      <c r="L23" s="320" t="n"/>
      <c r="M23" s="194" t="n">
        <v>10</v>
      </c>
      <c r="N23" s="190" t="n"/>
    </row>
    <row r="24" ht="15" customHeight="1" s="294">
      <c r="A24" s="315" t="n"/>
      <c r="B24" s="190" t="n">
        <v>22</v>
      </c>
      <c r="C24" s="190" t="inlineStr">
        <is>
          <t>电阻类</t>
        </is>
      </c>
      <c r="D24" s="321" t="n"/>
      <c r="E24" s="322" t="n"/>
      <c r="F24" s="322" t="n"/>
      <c r="G24" s="322" t="n"/>
      <c r="H24" s="322" t="n"/>
      <c r="I24" s="322" t="n"/>
      <c r="J24" s="322" t="n"/>
      <c r="K24" s="322" t="n"/>
      <c r="L24" s="323" t="n"/>
      <c r="M24" s="194" t="n">
        <v>10</v>
      </c>
      <c r="N24" s="190" t="n"/>
    </row>
    <row r="25" ht="15" customHeight="1" s="294">
      <c r="A25" s="190" t="inlineStr">
        <is>
          <t>非关键器件</t>
        </is>
      </c>
      <c r="B25" s="190" t="n">
        <v>23</v>
      </c>
      <c r="C25" s="190" t="inlineStr">
        <is>
          <t>塑胶原料</t>
        </is>
      </c>
      <c r="D25" s="190" t="inlineStr">
        <is>
          <t>V</t>
        </is>
      </c>
      <c r="E25" s="190" t="inlineStr">
        <is>
          <t>NA</t>
        </is>
      </c>
      <c r="F25" s="190" t="inlineStr">
        <is>
          <t>V</t>
        </is>
      </c>
      <c r="G25" s="190" t="inlineStr">
        <is>
          <t>V</t>
        </is>
      </c>
      <c r="H25" s="190" t="inlineStr">
        <is>
          <t>V</t>
        </is>
      </c>
      <c r="I25" s="190" t="inlineStr">
        <is>
          <t>V</t>
        </is>
      </c>
      <c r="J25" s="194" t="inlineStr">
        <is>
          <t>需
求
时
提
供</t>
        </is>
      </c>
      <c r="K25" s="190" t="inlineStr">
        <is>
          <t>V</t>
        </is>
      </c>
      <c r="L25" s="190" t="inlineStr">
        <is>
          <t>V</t>
        </is>
      </c>
      <c r="M25" s="194" t="inlineStr">
        <is>
          <t>10Kg</t>
        </is>
      </c>
      <c r="N25" s="190" t="n"/>
    </row>
    <row r="26" ht="15" customHeight="1" s="294">
      <c r="A26" s="315" t="n"/>
      <c r="B26" s="190" t="n">
        <v>24</v>
      </c>
      <c r="C26" s="190" t="inlineStr">
        <is>
          <t>金属原料</t>
        </is>
      </c>
      <c r="D26" s="190" t="inlineStr">
        <is>
          <t>V</t>
        </is>
      </c>
      <c r="E26" s="190" t="inlineStr">
        <is>
          <t>V</t>
        </is>
      </c>
      <c r="F26" s="190" t="inlineStr">
        <is>
          <t>V</t>
        </is>
      </c>
      <c r="G26" s="190" t="inlineStr">
        <is>
          <t>V</t>
        </is>
      </c>
      <c r="H26" s="190" t="inlineStr">
        <is>
          <t>V</t>
        </is>
      </c>
      <c r="I26" s="190" t="inlineStr">
        <is>
          <t>NA</t>
        </is>
      </c>
      <c r="J26" s="315" t="n"/>
      <c r="K26" s="190" t="inlineStr">
        <is>
          <t>V</t>
        </is>
      </c>
      <c r="L26" s="190" t="inlineStr">
        <is>
          <t>V</t>
        </is>
      </c>
      <c r="M26" s="194" t="inlineStr">
        <is>
          <t>30Kg</t>
        </is>
      </c>
      <c r="N26" s="190" t="n"/>
    </row>
    <row r="27" ht="15" customHeight="1" s="294">
      <c r="A27" s="315" t="n"/>
      <c r="B27" s="190" t="n">
        <v>25</v>
      </c>
      <c r="C27" s="190" t="inlineStr">
        <is>
          <t>弹簧/扣环等五金件</t>
        </is>
      </c>
      <c r="D27" s="190" t="inlineStr">
        <is>
          <t>V</t>
        </is>
      </c>
      <c r="E27" s="190" t="inlineStr">
        <is>
          <t>V</t>
        </is>
      </c>
      <c r="F27" s="190" t="inlineStr">
        <is>
          <t>V</t>
        </is>
      </c>
      <c r="G27" s="190" t="inlineStr">
        <is>
          <t>V</t>
        </is>
      </c>
      <c r="H27" s="190" t="inlineStr">
        <is>
          <t>V</t>
        </is>
      </c>
      <c r="I27" s="190" t="inlineStr">
        <is>
          <t>NA</t>
        </is>
      </c>
      <c r="J27" s="315" t="n"/>
      <c r="K27" s="190" t="inlineStr">
        <is>
          <t>V</t>
        </is>
      </c>
      <c r="L27" s="190" t="inlineStr">
        <is>
          <t>V</t>
        </is>
      </c>
      <c r="M27" s="194" t="n">
        <v>5</v>
      </c>
      <c r="N27" s="190" t="n"/>
    </row>
    <row r="28" ht="15" customHeight="1" s="294">
      <c r="A28" s="315" t="n"/>
      <c r="B28" s="190" t="n">
        <v>26</v>
      </c>
      <c r="C28" s="190" t="inlineStr">
        <is>
          <t>线扣等塑胶件</t>
        </is>
      </c>
      <c r="D28" s="190" t="inlineStr">
        <is>
          <t>V</t>
        </is>
      </c>
      <c r="E28" s="190" t="inlineStr">
        <is>
          <t>V</t>
        </is>
      </c>
      <c r="F28" s="190" t="inlineStr">
        <is>
          <t>NA</t>
        </is>
      </c>
      <c r="G28" s="190" t="inlineStr">
        <is>
          <t>V</t>
        </is>
      </c>
      <c r="H28" s="190" t="inlineStr">
        <is>
          <t>V</t>
        </is>
      </c>
      <c r="I28" s="190" t="inlineStr">
        <is>
          <t>V</t>
        </is>
      </c>
      <c r="J28" s="315" t="n"/>
      <c r="K28" s="190" t="inlineStr">
        <is>
          <t>V</t>
        </is>
      </c>
      <c r="L28" s="190" t="inlineStr">
        <is>
          <t>V</t>
        </is>
      </c>
      <c r="M28" s="194" t="n">
        <v>6</v>
      </c>
      <c r="N28" s="190" t="n"/>
    </row>
    <row r="29" ht="15" customHeight="1" s="294">
      <c r="A29" s="315" t="n"/>
      <c r="B29" s="190" t="n">
        <v>27</v>
      </c>
      <c r="C29" s="190" t="inlineStr">
        <is>
          <t>标签/碳带</t>
        </is>
      </c>
      <c r="D29" s="190" t="inlineStr">
        <is>
          <t>V</t>
        </is>
      </c>
      <c r="E29" s="190" t="inlineStr">
        <is>
          <t>NA</t>
        </is>
      </c>
      <c r="F29" s="190" t="inlineStr">
        <is>
          <t>V</t>
        </is>
      </c>
      <c r="G29" s="190" t="inlineStr">
        <is>
          <t>V</t>
        </is>
      </c>
      <c r="H29" s="190" t="inlineStr">
        <is>
          <t>V</t>
        </is>
      </c>
      <c r="I29" s="190" t="inlineStr">
        <is>
          <t>V</t>
        </is>
      </c>
      <c r="J29" s="315" t="n"/>
      <c r="K29" s="190" t="inlineStr">
        <is>
          <t>V</t>
        </is>
      </c>
      <c r="L29" s="190" t="inlineStr">
        <is>
          <t>V</t>
        </is>
      </c>
      <c r="M29" s="194" t="n">
        <v>10</v>
      </c>
      <c r="N29" s="190" t="inlineStr">
        <is>
          <t>外箱/二维码标签不管控安规</t>
        </is>
      </c>
    </row>
    <row r="30" ht="15" customHeight="1" s="294">
      <c r="A30" s="315" t="n"/>
      <c r="B30" s="190" t="n">
        <v>28</v>
      </c>
      <c r="C30" s="190" t="inlineStr">
        <is>
          <t>金属护网</t>
        </is>
      </c>
      <c r="D30" s="190" t="inlineStr">
        <is>
          <t>V</t>
        </is>
      </c>
      <c r="E30" s="190" t="inlineStr">
        <is>
          <t>V</t>
        </is>
      </c>
      <c r="F30" s="190" t="inlineStr">
        <is>
          <t>V</t>
        </is>
      </c>
      <c r="G30" s="190" t="inlineStr">
        <is>
          <t>V</t>
        </is>
      </c>
      <c r="H30" s="190" t="inlineStr">
        <is>
          <t>V</t>
        </is>
      </c>
      <c r="I30" s="190" t="inlineStr">
        <is>
          <t>NA</t>
        </is>
      </c>
      <c r="J30" s="315" t="n"/>
      <c r="K30" s="190" t="inlineStr">
        <is>
          <t>V</t>
        </is>
      </c>
      <c r="L30" s="190" t="inlineStr">
        <is>
          <t>V</t>
        </is>
      </c>
      <c r="M30" s="194" t="n">
        <v>5</v>
      </c>
      <c r="N30" s="190" t="n"/>
    </row>
    <row r="31" ht="15" customHeight="1" s="294">
      <c r="A31" s="315" t="n"/>
      <c r="B31" s="190" t="n">
        <v>29</v>
      </c>
      <c r="C31" s="190" t="inlineStr">
        <is>
          <t>化材类（胶、锡料等）</t>
        </is>
      </c>
      <c r="D31" s="190" t="inlineStr">
        <is>
          <t>V</t>
        </is>
      </c>
      <c r="E31" s="190" t="inlineStr">
        <is>
          <t>NA</t>
        </is>
      </c>
      <c r="F31" s="190" t="inlineStr">
        <is>
          <t>V</t>
        </is>
      </c>
      <c r="G31" s="190" t="inlineStr">
        <is>
          <t>V</t>
        </is>
      </c>
      <c r="H31" s="190" t="inlineStr">
        <is>
          <t>V</t>
        </is>
      </c>
      <c r="I31" s="190" t="inlineStr">
        <is>
          <t>NA</t>
        </is>
      </c>
      <c r="J31" s="315" t="n"/>
      <c r="K31" s="190" t="inlineStr">
        <is>
          <t>V</t>
        </is>
      </c>
      <c r="L31" s="190" t="inlineStr">
        <is>
          <t>V</t>
        </is>
      </c>
      <c r="M31" s="194" t="inlineStr">
        <is>
          <t>1Kg</t>
        </is>
      </c>
      <c r="N31" s="190" t="n"/>
    </row>
    <row r="32" ht="15" customHeight="1" s="294">
      <c r="A32" s="316" t="n"/>
      <c r="B32" s="190" t="n">
        <v>30</v>
      </c>
      <c r="C32" s="190" t="inlineStr">
        <is>
          <t>包材类</t>
        </is>
      </c>
      <c r="D32" s="190" t="inlineStr">
        <is>
          <t>V</t>
        </is>
      </c>
      <c r="E32" s="190" t="inlineStr">
        <is>
          <t>V</t>
        </is>
      </c>
      <c r="F32" s="190" t="inlineStr">
        <is>
          <t>V</t>
        </is>
      </c>
      <c r="G32" s="190" t="inlineStr">
        <is>
          <t>V</t>
        </is>
      </c>
      <c r="H32" s="190" t="inlineStr">
        <is>
          <t>V</t>
        </is>
      </c>
      <c r="I32" s="190" t="inlineStr">
        <is>
          <t>NA</t>
        </is>
      </c>
      <c r="J32" s="315" t="n"/>
      <c r="K32" s="190" t="inlineStr">
        <is>
          <t>V</t>
        </is>
      </c>
      <c r="L32" s="190" t="inlineStr">
        <is>
          <t>V</t>
        </is>
      </c>
      <c r="M32" s="194" t="n">
        <v>5</v>
      </c>
      <c r="N32" s="190" t="n"/>
    </row>
    <row r="33" ht="15" customHeight="1" s="294">
      <c r="A33" s="196" t="inlineStr">
        <is>
          <t>委外加工</t>
        </is>
      </c>
      <c r="B33" s="190" t="n">
        <v>31</v>
      </c>
      <c r="C33" s="190" t="inlineStr">
        <is>
          <t>电镀/电泳等表面处理</t>
        </is>
      </c>
      <c r="D33" s="190" t="inlineStr">
        <is>
          <t>V</t>
        </is>
      </c>
      <c r="E33" s="190" t="inlineStr">
        <is>
          <t>V（装配尺寸）</t>
        </is>
      </c>
      <c r="F33" s="190" t="inlineStr">
        <is>
          <t>V</t>
        </is>
      </c>
      <c r="G33" s="190" t="inlineStr">
        <is>
          <t>V</t>
        </is>
      </c>
      <c r="H33" s="190" t="inlineStr">
        <is>
          <t>V</t>
        </is>
      </c>
      <c r="I33" s="190" t="inlineStr">
        <is>
          <t>NA</t>
        </is>
      </c>
      <c r="J33" s="315" t="n"/>
      <c r="K33" s="190" t="inlineStr">
        <is>
          <t>V</t>
        </is>
      </c>
      <c r="L33" s="190" t="inlineStr">
        <is>
          <t>V</t>
        </is>
      </c>
      <c r="M33" s="194" t="n">
        <v>5</v>
      </c>
      <c r="N33" s="190" t="n"/>
    </row>
    <row r="34" ht="15" customHeight="1" s="294">
      <c r="A34" s="315" t="n"/>
      <c r="B34" s="190" t="n">
        <v>32</v>
      </c>
      <c r="C34" s="190" t="inlineStr">
        <is>
          <t>真空镀膜</t>
        </is>
      </c>
      <c r="D34" s="190" t="inlineStr">
        <is>
          <t>V</t>
        </is>
      </c>
      <c r="E34" s="190" t="inlineStr">
        <is>
          <t>V（装配尺寸）</t>
        </is>
      </c>
      <c r="F34" s="190" t="inlineStr">
        <is>
          <t>V</t>
        </is>
      </c>
      <c r="G34" s="190" t="inlineStr">
        <is>
          <t>V</t>
        </is>
      </c>
      <c r="H34" s="190" t="inlineStr">
        <is>
          <t>V</t>
        </is>
      </c>
      <c r="I34" s="190" t="inlineStr">
        <is>
          <t>NA</t>
        </is>
      </c>
      <c r="J34" s="315" t="n"/>
      <c r="K34" s="190" t="inlineStr">
        <is>
          <t>V</t>
        </is>
      </c>
      <c r="L34" s="190" t="inlineStr">
        <is>
          <t>V</t>
        </is>
      </c>
      <c r="M34" s="194" t="n">
        <v>5</v>
      </c>
      <c r="N34" s="190" t="n"/>
    </row>
    <row r="35" ht="15" customHeight="1" s="294">
      <c r="A35" s="315" t="n"/>
      <c r="B35" s="190" t="n">
        <v>33</v>
      </c>
      <c r="C35" s="190" t="inlineStr">
        <is>
          <t>线架打PIN</t>
        </is>
      </c>
      <c r="D35" s="190" t="inlineStr">
        <is>
          <t>V</t>
        </is>
      </c>
      <c r="E35" s="190" t="inlineStr">
        <is>
          <t>V（PIN针尺寸）</t>
        </is>
      </c>
      <c r="F35" s="190" t="inlineStr">
        <is>
          <t>V</t>
        </is>
      </c>
      <c r="G35" s="190" t="inlineStr">
        <is>
          <t>V</t>
        </is>
      </c>
      <c r="H35" s="190" t="inlineStr">
        <is>
          <t>V</t>
        </is>
      </c>
      <c r="I35" s="190" t="inlineStr">
        <is>
          <t>NA</t>
        </is>
      </c>
      <c r="J35" s="316" t="n"/>
      <c r="K35" s="190" t="inlineStr">
        <is>
          <t>V</t>
        </is>
      </c>
      <c r="L35" s="190" t="inlineStr">
        <is>
          <t>V</t>
        </is>
      </c>
      <c r="M35" s="194" t="n">
        <v>8</v>
      </c>
      <c r="N35" s="190" t="n"/>
    </row>
    <row r="36" ht="15" customHeight="1" s="294">
      <c r="A36" s="315" t="n"/>
      <c r="B36" s="190" t="n">
        <v>34</v>
      </c>
      <c r="C36" s="190" t="inlineStr">
        <is>
          <t>委外烧录（IC类）</t>
        </is>
      </c>
      <c r="D36" s="190" t="inlineStr">
        <is>
          <t>具体参照《***评估承认规范》（例如：IC类评估承认规范）</t>
        </is>
      </c>
      <c r="E36" s="317" t="n"/>
      <c r="F36" s="317" t="n"/>
      <c r="G36" s="317" t="n"/>
      <c r="H36" s="317" t="n"/>
      <c r="I36" s="317" t="n"/>
      <c r="J36" s="317" t="n"/>
      <c r="K36" s="317" t="n"/>
      <c r="L36" s="318" t="n"/>
      <c r="M36" s="194" t="n">
        <v>5</v>
      </c>
      <c r="N36" s="190" t="n"/>
    </row>
    <row r="37" ht="15" customHeight="1" s="294">
      <c r="A37" s="316" t="n"/>
      <c r="B37" s="190" t="n">
        <v>35</v>
      </c>
      <c r="C37" s="190" t="inlineStr">
        <is>
          <t>SMT（PCBA）</t>
        </is>
      </c>
      <c r="D37" s="321" t="n"/>
      <c r="E37" s="322" t="n"/>
      <c r="F37" s="322" t="n"/>
      <c r="G37" s="322" t="n"/>
      <c r="H37" s="322" t="n"/>
      <c r="I37" s="322" t="n"/>
      <c r="J37" s="322" t="n"/>
      <c r="K37" s="322" t="n"/>
      <c r="L37" s="323" t="n"/>
      <c r="M37" s="194" t="inlineStr">
        <is>
          <t>1连片</t>
        </is>
      </c>
      <c r="N37" s="190" t="n"/>
    </row>
    <row r="38" ht="15" customHeight="1" s="294">
      <c r="A38" s="206" t="inlineStr">
        <is>
          <t>“V”代表需提供资料；“NA”代表无需提供资料</t>
        </is>
      </c>
      <c r="B38" s="305" t="n"/>
      <c r="C38" s="305" t="n"/>
      <c r="D38" s="305" t="n"/>
      <c r="E38" s="305" t="n"/>
      <c r="F38" s="305" t="n"/>
      <c r="G38" s="305" t="n"/>
      <c r="H38" s="305" t="n"/>
      <c r="I38" s="305" t="n"/>
      <c r="J38" s="305" t="n"/>
      <c r="K38" s="305" t="n"/>
      <c r="L38" s="306" t="n"/>
      <c r="M38" s="207" t="n"/>
      <c r="N38" s="190" t="n"/>
    </row>
    <row r="39">
      <c r="A39" s="208" t="inlineStr">
        <is>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is>
      </c>
      <c r="B39" s="317" t="n"/>
      <c r="C39" s="317" t="n"/>
      <c r="D39" s="317" t="n"/>
      <c r="E39" s="317" t="n"/>
      <c r="F39" s="317" t="n"/>
      <c r="G39" s="317" t="n"/>
      <c r="H39" s="317" t="n"/>
      <c r="I39" s="317" t="n"/>
      <c r="J39" s="317" t="n"/>
      <c r="K39" s="317" t="n"/>
      <c r="L39" s="317" t="n"/>
      <c r="M39" s="317" t="n"/>
      <c r="N39" s="318" t="n"/>
    </row>
    <row r="40">
      <c r="A40" s="319" t="n"/>
      <c r="N40" s="320" t="n"/>
    </row>
    <row r="41">
      <c r="A41" s="319" t="n"/>
      <c r="N41" s="320" t="n"/>
    </row>
    <row r="42">
      <c r="A42" s="319" t="n"/>
      <c r="N42" s="320" t="n"/>
    </row>
    <row r="43">
      <c r="A43" s="319" t="n"/>
      <c r="N43" s="320" t="n"/>
    </row>
    <row r="44">
      <c r="A44" s="319" t="n"/>
      <c r="N44" s="320" t="n"/>
    </row>
    <row r="45">
      <c r="A45" s="319" t="n"/>
      <c r="N45" s="320" t="n"/>
    </row>
    <row r="46">
      <c r="A46" s="319" t="n"/>
      <c r="N46" s="320" t="n"/>
    </row>
    <row r="47">
      <c r="A47" s="319" t="n"/>
      <c r="N47" s="320" t="n"/>
    </row>
    <row r="48">
      <c r="A48" s="319" t="n"/>
      <c r="N48" s="320" t="n"/>
    </row>
    <row r="49">
      <c r="A49" s="319" t="n"/>
      <c r="N49" s="320" t="n"/>
    </row>
    <row r="50">
      <c r="A50" s="319" t="n"/>
      <c r="N50" s="320" t="n"/>
    </row>
    <row r="51">
      <c r="A51" s="321" t="n"/>
      <c r="B51" s="322" t="n"/>
      <c r="C51" s="322" t="n"/>
      <c r="D51" s="322" t="n"/>
      <c r="E51" s="322" t="n"/>
      <c r="F51" s="322" t="n"/>
      <c r="G51" s="322" t="n"/>
      <c r="H51" s="322" t="n"/>
      <c r="I51" s="322" t="n"/>
      <c r="J51" s="322" t="n"/>
      <c r="K51" s="322" t="n"/>
      <c r="L51" s="322" t="n"/>
      <c r="M51" s="322" t="n"/>
      <c r="N51" s="323" t="n"/>
    </row>
  </sheetData>
  <mergeCells count="11">
    <mergeCell ref="A38:L38"/>
    <mergeCell ref="N13:N14"/>
    <mergeCell ref="A39:N51"/>
    <mergeCell ref="D36:L37"/>
    <mergeCell ref="J3:J16"/>
    <mergeCell ref="A25:A32"/>
    <mergeCell ref="J25:J35"/>
    <mergeCell ref="A33:A37"/>
    <mergeCell ref="A3:A24"/>
    <mergeCell ref="D17:L24"/>
    <mergeCell ref="A1:N1"/>
  </mergeCells>
  <pageMargins left="0.7" right="0.7" top="0.75" bottom="0.75" header="0.3" footer="0.3"/>
  <pageSetup orientation="portrait" paperSize="9"/>
</worksheet>
</file>

<file path=xl/worksheets/sheet5.xml><?xml version="1.0" encoding="utf-8"?>
<worksheet xmlns="http://schemas.openxmlformats.org/spreadsheetml/2006/main">
  <sheetPr codeName="Sheet4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图纸（生久&amp;供应商）</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6.xml><?xml version="1.0" encoding="utf-8"?>
<worksheet xmlns="http://schemas.openxmlformats.org/spreadsheetml/2006/main">
  <sheetPr codeName="Sheet5">
    <outlinePr summaryBelow="1" summaryRight="1"/>
    <pageSetUpPr/>
  </sheetPr>
  <dimension ref="A1:C24"/>
  <sheetViews>
    <sheetView zoomScale="85" zoomScaleNormal="85" workbookViewId="0">
      <selection activeCell="H16" sqref="H16"/>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供应商部件承认书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4" t="inlineStr">
        <is>
          <t xml:space="preserve">线材              端子胶壳           套管    </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7.xml><?xml version="1.0" encoding="utf-8"?>
<worksheet xmlns="http://schemas.openxmlformats.org/spreadsheetml/2006/main">
  <sheetPr codeName="Sheet6">
    <outlinePr summaryBelow="1" summaryRight="1"/>
    <pageSetUpPr/>
  </sheetPr>
  <dimension ref="A1:C24"/>
  <sheetViews>
    <sheetView topLeftCell="A7" zoomScale="85" zoomScaleNormal="85" workbookViewId="0">
      <selection activeCell="J22" sqref="J22"/>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成品照片（多角度）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8.xml><?xml version="1.0" encoding="utf-8"?>
<worksheet xmlns="http://schemas.openxmlformats.org/spreadsheetml/2006/main">
  <sheetPr codeName="Sheet7">
    <outlinePr summaryBelow="1" summaryRight="1"/>
    <pageSetUpPr/>
  </sheetPr>
  <dimension ref="A1:JF53"/>
  <sheetViews>
    <sheetView view="pageBreakPreview" zoomScale="70" zoomScaleNormal="40" workbookViewId="0">
      <selection activeCell="AC17" sqref="AC17"/>
    </sheetView>
  </sheetViews>
  <sheetFormatPr baseColWidth="8" defaultColWidth="7.625" defaultRowHeight="15"/>
  <cols>
    <col width="8.625" customWidth="1" style="113" min="1" max="1"/>
    <col width="8.25" customWidth="1" style="113" min="2" max="4"/>
    <col width="9.625" customWidth="1" style="113" min="5" max="8"/>
    <col width="5.625" customWidth="1" style="113" min="9" max="40"/>
    <col width="15.625" customWidth="1" style="114" min="41" max="41"/>
    <col width="7.625" customWidth="1" style="113" min="42" max="16384"/>
  </cols>
  <sheetData>
    <row r="1" ht="49.9" customHeight="1" s="294">
      <c r="A1" s="115" t="inlineStr">
        <is>
          <t>供应商测试报告(FAI)--全尺寸</t>
        </is>
      </c>
    </row>
    <row r="2" ht="19.15" customHeight="1" s="294">
      <c r="A2" s="116" t="inlineStr">
        <is>
          <t>Product name:</t>
        </is>
      </c>
      <c r="C2" s="117" t="inlineStr">
        <is>
          <t>导线</t>
        </is>
      </c>
      <c r="G2" s="118" t="inlineStr">
        <is>
          <t>Drawing No:</t>
        </is>
      </c>
      <c r="I2" s="114">
        <f>封面!D14</f>
        <v/>
      </c>
      <c r="M2" s="116" t="inlineStr">
        <is>
          <t>Revision No:</t>
        </is>
      </c>
      <c r="O2" s="114">
        <f>封面!D16</f>
        <v/>
      </c>
      <c r="S2" s="118" t="inlineStr">
        <is>
          <t>Date:</t>
        </is>
      </c>
      <c r="U2" s="117" t="inlineStr">
        <is>
          <t>2026.06.18</t>
        </is>
      </c>
      <c r="Y2" s="118" t="inlineStr">
        <is>
          <t>Confirm by:</t>
        </is>
      </c>
      <c r="AA2" s="116" t="inlineStr">
        <is>
          <t>王立均</t>
        </is>
      </c>
    </row>
    <row r="3" ht="19.15" customHeight="1" s="294">
      <c r="A3" s="116" t="inlineStr">
        <is>
          <t>产品名称:</t>
        </is>
      </c>
      <c r="G3" s="116" t="inlineStr">
        <is>
          <t>图纸编号:</t>
        </is>
      </c>
      <c r="M3" s="116" t="inlineStr">
        <is>
          <t>图纸版本:</t>
        </is>
      </c>
      <c r="S3" s="119" t="inlineStr">
        <is>
          <t>日期:</t>
        </is>
      </c>
      <c r="T3" s="300" t="n"/>
      <c r="Y3" s="116" t="inlineStr">
        <is>
          <t>确认者:</t>
        </is>
      </c>
    </row>
    <row r="4" ht="19.15" customHeight="1" s="294">
      <c r="A4" s="118" t="inlineStr">
        <is>
          <t>Part Description:</t>
        </is>
      </c>
      <c r="C4" s="117" t="inlineStr">
        <is>
          <t>/</t>
        </is>
      </c>
      <c r="G4" s="118" t="inlineStr">
        <is>
          <t>Cavity #:</t>
        </is>
      </c>
      <c r="I4" s="114" t="inlineStr">
        <is>
          <t>/</t>
        </is>
      </c>
      <c r="M4" s="118" t="inlineStr">
        <is>
          <t>Supplier:</t>
        </is>
      </c>
      <c r="O4" s="114" t="inlineStr">
        <is>
          <t>久益</t>
        </is>
      </c>
      <c r="S4" s="118" t="inlineStr">
        <is>
          <t>Inspector:</t>
        </is>
      </c>
      <c r="U4" s="117" t="inlineStr">
        <is>
          <t>余义芳</t>
        </is>
      </c>
      <c r="Y4" s="116" t="inlineStr">
        <is>
          <t>Phase:</t>
        </is>
      </c>
      <c r="AA4" s="120" t="n"/>
      <c r="AB4" s="121" t="n"/>
      <c r="AC4" s="121" t="n"/>
      <c r="AD4" s="121" t="n"/>
      <c r="AE4" s="121" t="n"/>
      <c r="AF4" s="121" t="n"/>
      <c r="AG4" s="121" t="n"/>
      <c r="AH4" s="121" t="n"/>
      <c r="AI4" s="121" t="n"/>
      <c r="AJ4" s="121" t="n"/>
      <c r="AK4" s="121" t="n"/>
      <c r="AL4" s="121" t="n"/>
      <c r="AM4" s="121" t="n"/>
      <c r="AN4" s="121" t="n"/>
      <c r="AO4" s="117" t="n"/>
      <c r="AP4" s="121" t="n"/>
    </row>
    <row r="5" ht="19.15" customHeight="1" s="294">
      <c r="A5" s="116" t="inlineStr">
        <is>
          <t>部件描述:</t>
        </is>
      </c>
      <c r="G5" s="116" t="inlineStr">
        <is>
          <t>模穴编号:</t>
        </is>
      </c>
      <c r="M5" s="116" t="inlineStr">
        <is>
          <t>供应商:</t>
        </is>
      </c>
      <c r="S5" s="116" t="inlineStr">
        <is>
          <t>检验者:</t>
        </is>
      </c>
      <c r="Y5" s="122" t="n"/>
      <c r="Z5" s="122" t="inlineStr">
        <is>
          <t>首次送样</t>
        </is>
      </c>
      <c r="AA5" s="122" t="n"/>
      <c r="AB5" s="124" t="inlineStr">
        <is>
          <t>第   次送样</t>
        </is>
      </c>
      <c r="AC5" s="301" t="n"/>
      <c r="AD5" s="301" t="n"/>
      <c r="AE5" s="301" t="n"/>
      <c r="AF5" s="301" t="n"/>
      <c r="AG5" s="301" t="n"/>
      <c r="AH5" s="301" t="n"/>
      <c r="AI5" s="301" t="n"/>
      <c r="AJ5" s="301" t="n"/>
      <c r="AK5" s="301" t="n"/>
      <c r="AL5" s="301" t="n"/>
      <c r="AM5" s="301" t="n"/>
      <c r="AN5" s="301" t="n"/>
      <c r="AO5" s="301" t="n"/>
      <c r="AP5" s="301" t="n"/>
    </row>
    <row r="6" ht="19.15" customHeight="1" s="294">
      <c r="A6" s="125" t="inlineStr">
        <is>
          <t>Item Number</t>
        </is>
      </c>
      <c r="B6" s="126" t="inlineStr">
        <is>
          <t>Dimension / Specification 尺寸规格</t>
        </is>
      </c>
      <c r="C6" s="324" t="n"/>
      <c r="D6" s="325" t="n"/>
      <c r="E6" s="128" t="inlineStr">
        <is>
          <t>Test result 检测结果</t>
        </is>
      </c>
      <c r="F6" s="324" t="n"/>
      <c r="G6" s="324" t="n"/>
      <c r="H6" s="325" t="n"/>
      <c r="I6" s="131" t="inlineStr">
        <is>
          <t>FAI Measurement Data 测量数据</t>
        </is>
      </c>
      <c r="J6" s="326" t="n"/>
      <c r="K6" s="326" t="n"/>
      <c r="L6" s="326" t="n"/>
      <c r="M6" s="326" t="n"/>
      <c r="N6" s="326" t="n"/>
      <c r="O6" s="326" t="n"/>
      <c r="P6" s="326" t="n"/>
      <c r="Q6" s="326" t="n"/>
      <c r="R6" s="326" t="n"/>
      <c r="S6" s="326" t="n"/>
      <c r="T6" s="326" t="n"/>
      <c r="U6" s="326" t="n"/>
      <c r="V6" s="326" t="n"/>
      <c r="W6" s="326" t="n"/>
      <c r="X6" s="326" t="n"/>
      <c r="Y6" s="326" t="n"/>
      <c r="Z6" s="326" t="n"/>
      <c r="AA6" s="326" t="n"/>
      <c r="AB6" s="326" t="n"/>
      <c r="AC6" s="326" t="n"/>
      <c r="AD6" s="326" t="n"/>
      <c r="AE6" s="326" t="n"/>
      <c r="AF6" s="326" t="n"/>
      <c r="AG6" s="326" t="n"/>
      <c r="AH6" s="326" t="n"/>
      <c r="AI6" s="326" t="n"/>
      <c r="AJ6" s="326" t="n"/>
      <c r="AK6" s="326" t="n"/>
      <c r="AL6" s="326" t="n"/>
      <c r="AM6" s="326" t="n"/>
      <c r="AN6" s="326" t="n"/>
      <c r="AO6" s="128" t="inlineStr">
        <is>
          <t>measure instrument code
测量仪器代码</t>
        </is>
      </c>
      <c r="AP6" s="130" t="inlineStr">
        <is>
          <t>remark      备注</t>
        </is>
      </c>
    </row>
    <row r="7" ht="19.15" customHeight="1" s="294">
      <c r="A7" s="327" t="n"/>
      <c r="B7" s="321" t="n"/>
      <c r="C7" s="322" t="n"/>
      <c r="D7" s="323" t="n"/>
      <c r="E7" s="328" t="n"/>
      <c r="F7" s="322" t="n"/>
      <c r="G7" s="322" t="n"/>
      <c r="H7" s="323" t="n"/>
      <c r="I7" s="138" t="inlineStr">
        <is>
          <t>模穴号#</t>
        </is>
      </c>
      <c r="J7" s="305" t="n"/>
      <c r="K7" s="305" t="n"/>
      <c r="L7" s="305" t="n"/>
      <c r="M7" s="305" t="n"/>
      <c r="N7" s="305" t="n"/>
      <c r="O7" s="305" t="n"/>
      <c r="P7" s="305" t="n"/>
      <c r="Q7" s="305" t="n"/>
      <c r="R7" s="305" t="n"/>
      <c r="S7" s="305" t="n"/>
      <c r="T7" s="305" t="n"/>
      <c r="U7" s="305" t="n"/>
      <c r="V7" s="305" t="n"/>
      <c r="W7" s="305" t="n"/>
      <c r="X7" s="305" t="n"/>
      <c r="Y7" s="305" t="n"/>
      <c r="Z7" s="305" t="n"/>
      <c r="AA7" s="305" t="n"/>
      <c r="AB7" s="305" t="n"/>
      <c r="AC7" s="305" t="n"/>
      <c r="AD7" s="305" t="n"/>
      <c r="AE7" s="305" t="n"/>
      <c r="AF7" s="305" t="n"/>
      <c r="AG7" s="305" t="n"/>
      <c r="AH7" s="305" t="n"/>
      <c r="AI7" s="305" t="n"/>
      <c r="AJ7" s="305" t="n"/>
      <c r="AK7" s="305" t="n"/>
      <c r="AL7" s="305" t="n"/>
      <c r="AM7" s="305" t="n"/>
      <c r="AN7" s="305" t="n"/>
      <c r="AO7" s="327" t="n"/>
      <c r="AP7" s="329" t="n"/>
    </row>
    <row r="8" ht="19.15" customHeight="1" s="294">
      <c r="A8" s="330" t="n"/>
      <c r="B8" s="136" t="inlineStr">
        <is>
          <t>LSL下限</t>
        </is>
      </c>
      <c r="C8" s="136" t="inlineStr">
        <is>
          <t>UL中心值</t>
        </is>
      </c>
      <c r="D8" s="139" t="inlineStr">
        <is>
          <t>USL上限</t>
        </is>
      </c>
      <c r="E8" s="140" t="inlineStr">
        <is>
          <t>Mean均值</t>
        </is>
      </c>
      <c r="F8" s="141" t="inlineStr">
        <is>
          <t>Stedev.标准差</t>
        </is>
      </c>
      <c r="G8" s="142" t="inlineStr">
        <is>
          <t>CP</t>
        </is>
      </c>
      <c r="H8" s="143" t="inlineStr">
        <is>
          <t>CPK</t>
        </is>
      </c>
      <c r="I8" s="144" t="n">
        <v>1</v>
      </c>
      <c r="J8" s="144" t="n">
        <v>2</v>
      </c>
      <c r="K8" s="144" t="n">
        <v>3</v>
      </c>
      <c r="L8" s="144" t="n">
        <v>4</v>
      </c>
      <c r="M8" s="144" t="n">
        <v>5</v>
      </c>
      <c r="N8" s="144" t="n">
        <v>6</v>
      </c>
      <c r="O8" s="144" t="n">
        <v>7</v>
      </c>
      <c r="P8" s="144" t="n">
        <v>8</v>
      </c>
      <c r="Q8" s="144" t="n">
        <v>9</v>
      </c>
      <c r="R8" s="144" t="n">
        <v>10</v>
      </c>
      <c r="S8" s="144" t="n">
        <v>11</v>
      </c>
      <c r="T8" s="144" t="n">
        <v>12</v>
      </c>
      <c r="U8" s="144" t="n">
        <v>13</v>
      </c>
      <c r="V8" s="144" t="n">
        <v>14</v>
      </c>
      <c r="W8" s="144" t="n">
        <v>15</v>
      </c>
      <c r="X8" s="144" t="n">
        <v>16</v>
      </c>
      <c r="Y8" s="144" t="n">
        <v>17</v>
      </c>
      <c r="Z8" s="144" t="n">
        <v>18</v>
      </c>
      <c r="AA8" s="144" t="n">
        <v>19</v>
      </c>
      <c r="AB8" s="145" t="n">
        <v>20</v>
      </c>
      <c r="AC8" s="145" t="n">
        <v>21</v>
      </c>
      <c r="AD8" s="145" t="n">
        <v>22</v>
      </c>
      <c r="AE8" s="145" t="n">
        <v>23</v>
      </c>
      <c r="AF8" s="145" t="n">
        <v>24</v>
      </c>
      <c r="AG8" s="145" t="n">
        <v>25</v>
      </c>
      <c r="AH8" s="145" t="n">
        <v>26</v>
      </c>
      <c r="AI8" s="145" t="n">
        <v>27</v>
      </c>
      <c r="AJ8" s="145" t="n">
        <v>28</v>
      </c>
      <c r="AK8" s="145" t="n">
        <v>29</v>
      </c>
      <c r="AL8" s="145" t="n">
        <v>30</v>
      </c>
      <c r="AM8" s="145" t="n">
        <v>31</v>
      </c>
      <c r="AN8" s="146" t="n">
        <v>32</v>
      </c>
      <c r="AO8" s="330" t="n"/>
      <c r="AP8" s="331" t="n"/>
    </row>
    <row r="9" ht="19.15" customHeight="1" s="294">
      <c r="A9" s="148" t="n">
        <v>1</v>
      </c>
      <c r="B9" s="145" t="n">
        <v>93</v>
      </c>
      <c r="C9" s="145" t="n">
        <v>98</v>
      </c>
      <c r="D9" s="145" t="n">
        <v>103</v>
      </c>
      <c r="E9" s="148">
        <f>AVERAGE(I9:AN9)</f>
        <v/>
      </c>
      <c r="F9" s="145">
        <f>STDEV(I9:AN9)</f>
        <v/>
      </c>
      <c r="G9" s="332">
        <f>(D9-B9)/(6*F9)</f>
        <v/>
      </c>
      <c r="H9" s="333">
        <f>MIN(((D9-E9)/(3*F9)),((E9-B9)/(3*F9)))</f>
        <v/>
      </c>
      <c r="I9" s="144" t="n">
        <v>98</v>
      </c>
      <c r="J9" s="144" t="n">
        <v>98</v>
      </c>
      <c r="K9" s="144" t="n">
        <v>98</v>
      </c>
      <c r="L9" s="144" t="n">
        <v>98</v>
      </c>
      <c r="M9" s="144" t="n">
        <v>98</v>
      </c>
      <c r="N9" s="144" t="n">
        <v>99</v>
      </c>
      <c r="O9" s="144" t="n">
        <v>98</v>
      </c>
      <c r="P9" s="144" t="n">
        <v>98</v>
      </c>
      <c r="Q9" s="144" t="n">
        <v>98</v>
      </c>
      <c r="R9" s="144" t="n">
        <v>98</v>
      </c>
      <c r="S9" s="144" t="n">
        <v>98</v>
      </c>
      <c r="T9" s="144" t="n">
        <v>98</v>
      </c>
      <c r="U9" s="144" t="n">
        <v>99</v>
      </c>
      <c r="V9" s="144" t="n">
        <v>98</v>
      </c>
      <c r="W9" s="144" t="n">
        <v>98</v>
      </c>
      <c r="X9" s="144" t="n">
        <v>98</v>
      </c>
      <c r="Y9" s="144" t="n">
        <v>98</v>
      </c>
      <c r="Z9" s="144" t="n">
        <v>98</v>
      </c>
      <c r="AA9" s="144" t="n">
        <v>98</v>
      </c>
      <c r="AB9" s="144" t="n">
        <v>99</v>
      </c>
      <c r="AC9" s="144" t="n">
        <v>98</v>
      </c>
      <c r="AD9" s="144" t="n">
        <v>98</v>
      </c>
      <c r="AE9" s="144" t="n">
        <v>98</v>
      </c>
      <c r="AF9" s="144" t="n">
        <v>98</v>
      </c>
      <c r="AG9" s="144" t="n">
        <v>98</v>
      </c>
      <c r="AH9" s="144" t="n">
        <v>98</v>
      </c>
      <c r="AI9" s="144" t="n">
        <v>99</v>
      </c>
      <c r="AJ9" s="144" t="n">
        <v>98</v>
      </c>
      <c r="AK9" s="144" t="n">
        <v>98</v>
      </c>
      <c r="AL9" s="144" t="n">
        <v>98</v>
      </c>
      <c r="AM9" s="144" t="n">
        <v>98</v>
      </c>
      <c r="AN9" s="146" t="n">
        <v>99</v>
      </c>
      <c r="AO9" s="147" t="inlineStr">
        <is>
          <t>Z</t>
        </is>
      </c>
      <c r="AP9" s="151" t="n"/>
    </row>
    <row r="10" ht="19.15" customHeight="1" s="294">
      <c r="A10" s="148" t="n">
        <v>2</v>
      </c>
      <c r="B10" s="145" t="n">
        <v>55</v>
      </c>
      <c r="C10" s="145" t="n">
        <v>60</v>
      </c>
      <c r="D10" s="152" t="n">
        <v>65</v>
      </c>
      <c r="E10" s="148">
        <f>AVERAGE(I10:AN10)</f>
        <v/>
      </c>
      <c r="F10" s="145">
        <f>STDEV(I10:AN10)</f>
        <v/>
      </c>
      <c r="G10" s="332">
        <f>(D10-B10)/(6*F10)</f>
        <v/>
      </c>
      <c r="H10" s="333">
        <f>MIN(((D10-E10)/(3*F10)),((E10-B10)/(3*F10)))</f>
        <v/>
      </c>
      <c r="I10" s="144" t="n">
        <v>60</v>
      </c>
      <c r="J10" s="144" t="n">
        <v>60</v>
      </c>
      <c r="K10" s="144" t="n">
        <v>61</v>
      </c>
      <c r="L10" s="144" t="n">
        <v>60</v>
      </c>
      <c r="M10" s="144" t="n">
        <v>61</v>
      </c>
      <c r="N10" s="144" t="n">
        <v>60</v>
      </c>
      <c r="O10" s="144" t="n">
        <v>60</v>
      </c>
      <c r="P10" s="144" t="n">
        <v>60</v>
      </c>
      <c r="Q10" s="144" t="n">
        <v>60</v>
      </c>
      <c r="R10" s="144" t="n">
        <v>60</v>
      </c>
      <c r="S10" s="144" t="n">
        <v>61</v>
      </c>
      <c r="T10" s="144" t="n">
        <v>60</v>
      </c>
      <c r="U10" s="144" t="n">
        <v>60</v>
      </c>
      <c r="V10" s="144" t="n">
        <v>60</v>
      </c>
      <c r="W10" s="144" t="n">
        <v>60</v>
      </c>
      <c r="X10" s="144" t="n">
        <v>60</v>
      </c>
      <c r="Y10" s="144" t="n">
        <v>60</v>
      </c>
      <c r="Z10" s="144" t="n">
        <v>61</v>
      </c>
      <c r="AA10" s="144" t="n">
        <v>60</v>
      </c>
      <c r="AB10" s="144" t="n">
        <v>60</v>
      </c>
      <c r="AC10" s="144" t="n">
        <v>60</v>
      </c>
      <c r="AD10" s="144" t="n">
        <v>60</v>
      </c>
      <c r="AE10" s="144" t="n">
        <v>60</v>
      </c>
      <c r="AF10" s="144" t="n">
        <v>60</v>
      </c>
      <c r="AG10" s="144" t="n">
        <v>61</v>
      </c>
      <c r="AH10" s="144" t="n">
        <v>60</v>
      </c>
      <c r="AI10" s="144" t="n">
        <v>60</v>
      </c>
      <c r="AJ10" s="144" t="n">
        <v>60</v>
      </c>
      <c r="AK10" s="144" t="n">
        <v>60</v>
      </c>
      <c r="AL10" s="144" t="n">
        <v>60</v>
      </c>
      <c r="AM10" s="144" t="n">
        <v>60</v>
      </c>
      <c r="AN10" s="146" t="n">
        <v>61</v>
      </c>
      <c r="AO10" s="144" t="inlineStr">
        <is>
          <t>Z</t>
        </is>
      </c>
      <c r="AP10" s="151" t="n"/>
    </row>
    <row r="11" ht="19.15" customHeight="1" s="294">
      <c r="A11" s="148" t="n">
        <v>3</v>
      </c>
      <c r="B11" s="145" t="n">
        <v>25</v>
      </c>
      <c r="C11" s="145" t="n">
        <v>28</v>
      </c>
      <c r="D11" s="152" t="n">
        <v>31</v>
      </c>
      <c r="E11" s="148">
        <f>AVERAGE(I11:AN11)</f>
        <v/>
      </c>
      <c r="F11" s="145">
        <f>STDEV(I11:AN11)</f>
        <v/>
      </c>
      <c r="G11" s="332">
        <f>(D11-B11)/(6*F11)</f>
        <v/>
      </c>
      <c r="H11" s="333">
        <f>MIN(((D11-E11)/(3*F11)),((E11-B11)/(3*F11)))</f>
        <v/>
      </c>
      <c r="I11" s="153" t="n">
        <v>28</v>
      </c>
      <c r="J11" s="153" t="n">
        <v>28</v>
      </c>
      <c r="K11" s="153" t="n">
        <v>28</v>
      </c>
      <c r="L11" s="153" t="n">
        <v>29</v>
      </c>
      <c r="M11" s="153" t="n">
        <v>28</v>
      </c>
      <c r="N11" s="153" t="n">
        <v>28</v>
      </c>
      <c r="O11" s="153" t="n">
        <v>28</v>
      </c>
      <c r="P11" s="153" t="n">
        <v>28</v>
      </c>
      <c r="Q11" s="153" t="n">
        <v>28</v>
      </c>
      <c r="R11" s="153" t="n">
        <v>28</v>
      </c>
      <c r="S11" s="153" t="n">
        <v>28</v>
      </c>
      <c r="T11" s="153" t="n">
        <v>28</v>
      </c>
      <c r="U11" s="153" t="n">
        <v>28</v>
      </c>
      <c r="V11" s="153" t="n">
        <v>28</v>
      </c>
      <c r="W11" s="153" t="n">
        <v>28</v>
      </c>
      <c r="X11" s="153" t="n">
        <v>28</v>
      </c>
      <c r="Y11" s="153" t="n">
        <v>28</v>
      </c>
      <c r="Z11" s="153" t="n">
        <v>29</v>
      </c>
      <c r="AA11" s="153" t="n">
        <v>28</v>
      </c>
      <c r="AB11" s="153" t="n">
        <v>28</v>
      </c>
      <c r="AC11" s="153" t="n">
        <v>28</v>
      </c>
      <c r="AD11" s="153" t="n">
        <v>28</v>
      </c>
      <c r="AE11" s="153" t="n">
        <v>28</v>
      </c>
      <c r="AF11" s="153" t="n">
        <v>28</v>
      </c>
      <c r="AG11" s="153" t="n">
        <v>28</v>
      </c>
      <c r="AH11" s="153" t="n">
        <v>28</v>
      </c>
      <c r="AI11" s="153" t="n">
        <v>28</v>
      </c>
      <c r="AJ11" s="153" t="n">
        <v>28</v>
      </c>
      <c r="AK11" s="153" t="n">
        <v>28</v>
      </c>
      <c r="AL11" s="153" t="n">
        <v>28</v>
      </c>
      <c r="AM11" s="153" t="n">
        <v>28</v>
      </c>
      <c r="AN11" s="154" t="n">
        <v>29</v>
      </c>
      <c r="AO11" s="144" t="inlineStr">
        <is>
          <t>Z</t>
        </is>
      </c>
      <c r="AP11" s="151" t="n"/>
    </row>
    <row r="12" ht="19.15" customHeight="1" s="294">
      <c r="A12" s="148" t="n">
        <v>4</v>
      </c>
      <c r="B12" s="145" t="n">
        <v>1.5</v>
      </c>
      <c r="C12" s="145" t="n">
        <v>2</v>
      </c>
      <c r="D12" s="152" t="n">
        <v>2.5</v>
      </c>
      <c r="E12" s="148">
        <f>AVERAGE(I12:AN12)</f>
        <v/>
      </c>
      <c r="F12" s="145">
        <f>STDEV(I12:AN12)</f>
        <v/>
      </c>
      <c r="G12" s="332">
        <f>(D12-B12)/(6*F12)</f>
        <v/>
      </c>
      <c r="H12" s="333">
        <f>MIN(((D12-E12)/(3*F12)),((E12-B12)/(3*F12)))</f>
        <v/>
      </c>
      <c r="I12" s="153" t="n">
        <v>2.1</v>
      </c>
      <c r="J12" s="153" t="n">
        <v>2.1</v>
      </c>
      <c r="K12" s="153" t="n">
        <v>2</v>
      </c>
      <c r="L12" s="153" t="n">
        <v>2.1</v>
      </c>
      <c r="M12" s="153" t="n">
        <v>2.1</v>
      </c>
      <c r="N12" s="153" t="n">
        <v>2.1</v>
      </c>
      <c r="O12" s="153" t="n">
        <v>2</v>
      </c>
      <c r="P12" s="153" t="n">
        <v>2.1</v>
      </c>
      <c r="Q12" s="153" t="n">
        <v>2.1</v>
      </c>
      <c r="R12" s="153" t="n">
        <v>2.1</v>
      </c>
      <c r="S12" s="153" t="n">
        <v>2.1</v>
      </c>
      <c r="T12" s="153" t="n">
        <v>2.1</v>
      </c>
      <c r="U12" s="153" t="n">
        <v>2</v>
      </c>
      <c r="V12" s="153" t="n">
        <v>2.1</v>
      </c>
      <c r="W12" s="153" t="n">
        <v>2.1</v>
      </c>
      <c r="X12" s="153" t="n">
        <v>2.1</v>
      </c>
      <c r="Y12" s="153" t="n">
        <v>2.1</v>
      </c>
      <c r="Z12" s="153" t="n">
        <v>2.1</v>
      </c>
      <c r="AA12" s="153" t="n">
        <v>2.1</v>
      </c>
      <c r="AB12" s="153" t="n">
        <v>2</v>
      </c>
      <c r="AC12" s="153" t="n">
        <v>2.1</v>
      </c>
      <c r="AD12" s="153" t="n">
        <v>2.1</v>
      </c>
      <c r="AE12" s="153" t="n">
        <v>2.1</v>
      </c>
      <c r="AF12" s="153" t="n">
        <v>2.1</v>
      </c>
      <c r="AG12" s="153" t="n">
        <v>2.1</v>
      </c>
      <c r="AH12" s="153" t="n">
        <v>2.1</v>
      </c>
      <c r="AI12" s="153" t="n">
        <v>2</v>
      </c>
      <c r="AJ12" s="153" t="n">
        <v>2.1</v>
      </c>
      <c r="AK12" s="153" t="n">
        <v>2.1</v>
      </c>
      <c r="AL12" s="153" t="n">
        <v>2.1</v>
      </c>
      <c r="AM12" s="153" t="n">
        <v>2.1</v>
      </c>
      <c r="AN12" s="155" t="n">
        <v>2</v>
      </c>
      <c r="AO12" s="148" t="inlineStr">
        <is>
          <t>E</t>
        </is>
      </c>
      <c r="AP12" s="151" t="n"/>
    </row>
    <row r="13" ht="19.15" customHeight="1" s="294">
      <c r="A13" s="148" t="n">
        <v>5</v>
      </c>
      <c r="B13" s="145" t="n"/>
      <c r="C13" s="145" t="n"/>
      <c r="D13" s="152" t="n"/>
      <c r="E13" s="148">
        <f>AVERAGE(I13:AN13)</f>
        <v/>
      </c>
      <c r="F13" s="145">
        <f>STDEV(I13:AN13)</f>
        <v/>
      </c>
      <c r="G13" s="332">
        <f>(D13-B13)/(6*F13)</f>
        <v/>
      </c>
      <c r="H13" s="333">
        <f>MIN(((D13-E13)/(3*F13)),((E13-B13)/(3*F13)))</f>
        <v/>
      </c>
      <c r="I13" s="144" t="n"/>
      <c r="J13" s="144" t="n"/>
      <c r="K13" s="144" t="n"/>
      <c r="L13" s="144" t="n"/>
      <c r="M13" s="144" t="n"/>
      <c r="N13" s="144" t="n"/>
      <c r="O13" s="144" t="n"/>
      <c r="P13" s="144" t="n"/>
      <c r="Q13" s="144" t="n"/>
      <c r="R13" s="144" t="n"/>
      <c r="S13" s="144" t="n"/>
      <c r="T13" s="144" t="n"/>
      <c r="U13" s="144" t="n"/>
      <c r="V13" s="144" t="n"/>
      <c r="W13" s="144" t="n"/>
      <c r="X13" s="144" t="n"/>
      <c r="Y13" s="144" t="n"/>
      <c r="Z13" s="144" t="n"/>
      <c r="AA13" s="144" t="n"/>
      <c r="AB13" s="144" t="n"/>
      <c r="AC13" s="144" t="n"/>
      <c r="AD13" s="144" t="n"/>
      <c r="AE13" s="144" t="n"/>
      <c r="AF13" s="144" t="n"/>
      <c r="AG13" s="144" t="n"/>
      <c r="AH13" s="144" t="n"/>
      <c r="AI13" s="144" t="n"/>
      <c r="AJ13" s="144" t="n"/>
      <c r="AK13" s="144" t="n"/>
      <c r="AL13" s="144" t="n"/>
      <c r="AM13" s="144" t="n"/>
      <c r="AN13" s="146" t="n"/>
      <c r="AO13" s="144" t="n"/>
      <c r="AP13" s="151" t="n"/>
    </row>
    <row r="14" ht="19.15" customHeight="1" s="294">
      <c r="A14" s="148" t="n">
        <v>6</v>
      </c>
      <c r="B14" s="145" t="n"/>
      <c r="C14" s="145" t="n"/>
      <c r="D14" s="152" t="n"/>
      <c r="E14" s="148">
        <f>AVERAGE(I14:AN14)</f>
        <v/>
      </c>
      <c r="F14" s="145">
        <f>STDEV(I14:AN14)</f>
        <v/>
      </c>
      <c r="G14" s="332">
        <f>(D14-B14)/(6*F14)</f>
        <v/>
      </c>
      <c r="H14" s="333">
        <f>MIN(((D14-E14)/(3*F14)),((E14-B14)/(3*F14)))</f>
        <v/>
      </c>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6" t="n"/>
      <c r="AO14" s="144" t="n"/>
      <c r="AP14" s="151" t="n"/>
    </row>
    <row r="15" ht="19.15" customHeight="1" s="294">
      <c r="A15" s="148" t="n">
        <v>7</v>
      </c>
      <c r="B15" s="145" t="n"/>
      <c r="C15" s="145" t="n"/>
      <c r="D15" s="152" t="n"/>
      <c r="E15" s="148">
        <f>AVERAGE(I15:AN15)</f>
        <v/>
      </c>
      <c r="F15" s="145">
        <f>STDEV(I15:AN15)</f>
        <v/>
      </c>
      <c r="G15" s="332">
        <f>(D15-B15)/(6*F15)</f>
        <v/>
      </c>
      <c r="H15" s="333">
        <f>MIN(((D15-E15)/(3*F15)),((E15-B15)/(3*F15)))</f>
        <v/>
      </c>
      <c r="I15" s="144" t="n"/>
      <c r="J15" s="144" t="n"/>
      <c r="K15" s="144" t="n"/>
      <c r="L15" s="144" t="n"/>
      <c r="M15" s="144" t="n"/>
      <c r="N15" s="144" t="n"/>
      <c r="O15" s="144" t="n"/>
      <c r="P15" s="144" t="n"/>
      <c r="Q15" s="144" t="n"/>
      <c r="R15" s="144" t="n"/>
      <c r="S15" s="144" t="n"/>
      <c r="T15" s="144" t="n"/>
      <c r="U15" s="144" t="n"/>
      <c r="V15" s="144" t="n"/>
      <c r="W15" s="144" t="n"/>
      <c r="X15" s="144" t="n"/>
      <c r="Y15" s="144" t="n"/>
      <c r="Z15" s="144" t="n"/>
      <c r="AA15" s="144" t="n"/>
      <c r="AB15" s="144" t="n"/>
      <c r="AC15" s="144" t="n"/>
      <c r="AD15" s="144" t="n"/>
      <c r="AE15" s="144" t="n"/>
      <c r="AF15" s="144" t="n"/>
      <c r="AG15" s="144" t="n"/>
      <c r="AH15" s="144" t="n"/>
      <c r="AI15" s="144" t="n"/>
      <c r="AJ15" s="144" t="n"/>
      <c r="AK15" s="144" t="n"/>
      <c r="AL15" s="144" t="n"/>
      <c r="AM15" s="144" t="n"/>
      <c r="AN15" s="146" t="n"/>
      <c r="AO15" s="144" t="n"/>
      <c r="AP15" s="151" t="n"/>
    </row>
    <row r="16" ht="19.15" customHeight="1" s="294">
      <c r="A16" s="148" t="n">
        <v>8</v>
      </c>
      <c r="B16" s="145" t="n"/>
      <c r="C16" s="145" t="n"/>
      <c r="D16" s="152" t="n"/>
      <c r="E16" s="148">
        <f>AVERAGE(I16:AN16)</f>
        <v/>
      </c>
      <c r="F16" s="145">
        <f>STDEV(I16:AN16)</f>
        <v/>
      </c>
      <c r="G16" s="332">
        <f>(D16-B16)/(6*F16)</f>
        <v/>
      </c>
      <c r="H16" s="333">
        <f>MIN(((D16-E16)/(3*F16)),((E16-B16)/(3*F16)))</f>
        <v/>
      </c>
      <c r="I16" s="144" t="n"/>
      <c r="J16" s="144" t="n"/>
      <c r="K16" s="144" t="n"/>
      <c r="L16" s="144" t="n"/>
      <c r="M16" s="144" t="n"/>
      <c r="N16" s="144" t="n"/>
      <c r="O16" s="144" t="n"/>
      <c r="P16" s="144" t="n"/>
      <c r="Q16" s="144" t="n"/>
      <c r="R16" s="144" t="n"/>
      <c r="S16" s="144" t="n"/>
      <c r="T16" s="144" t="n"/>
      <c r="U16" s="144" t="n"/>
      <c r="V16" s="144" t="n"/>
      <c r="W16" s="144" t="n"/>
      <c r="X16" s="144" t="n"/>
      <c r="Y16" s="144" t="n"/>
      <c r="Z16" s="144" t="n"/>
      <c r="AA16" s="144" t="n"/>
      <c r="AB16" s="144" t="n"/>
      <c r="AC16" s="144" t="n"/>
      <c r="AD16" s="144" t="n"/>
      <c r="AE16" s="144" t="n"/>
      <c r="AF16" s="144" t="n"/>
      <c r="AG16" s="144" t="n"/>
      <c r="AH16" s="144" t="n"/>
      <c r="AI16" s="144" t="n"/>
      <c r="AJ16" s="144" t="n"/>
      <c r="AK16" s="144" t="n"/>
      <c r="AL16" s="144" t="n"/>
      <c r="AM16" s="144" t="n"/>
      <c r="AN16" s="146" t="n"/>
      <c r="AO16" s="144" t="n"/>
      <c r="AP16" s="151" t="n"/>
    </row>
    <row r="17" ht="19.15" customHeight="1" s="294">
      <c r="A17" s="148" t="n">
        <v>9</v>
      </c>
      <c r="B17" s="145" t="n"/>
      <c r="C17" s="145" t="n"/>
      <c r="D17" s="152" t="n"/>
      <c r="E17" s="148">
        <f>AVERAGE(I17:AN17)</f>
        <v/>
      </c>
      <c r="F17" s="145">
        <f>STDEV(I17:AN17)</f>
        <v/>
      </c>
      <c r="G17" s="332">
        <f>(D17-B17)/(6*F17)</f>
        <v/>
      </c>
      <c r="H17" s="333">
        <f>MIN(((D17-E17)/(3*F17)),((E17-B17)/(3*F17)))</f>
        <v/>
      </c>
      <c r="I17" s="144" t="n"/>
      <c r="J17" s="145" t="n"/>
      <c r="K17" s="145" t="n"/>
      <c r="L17" s="145" t="n"/>
      <c r="M17" s="145" t="n"/>
      <c r="N17" s="145" t="n"/>
      <c r="O17" s="145" t="n"/>
      <c r="P17" s="145" t="n"/>
      <c r="Q17" s="145" t="n"/>
      <c r="R17" s="145" t="n"/>
      <c r="S17" s="145" t="n"/>
      <c r="T17" s="145" t="n"/>
      <c r="U17" s="145" t="n"/>
      <c r="V17" s="145" t="n"/>
      <c r="W17" s="145" t="n"/>
      <c r="X17" s="145" t="n"/>
      <c r="Y17" s="145" t="n"/>
      <c r="Z17" s="145" t="n"/>
      <c r="AA17" s="145" t="n"/>
      <c r="AB17" s="145" t="n"/>
      <c r="AC17" s="145" t="n"/>
      <c r="AD17" s="145" t="n"/>
      <c r="AE17" s="145" t="n"/>
      <c r="AF17" s="145" t="n"/>
      <c r="AG17" s="145" t="n"/>
      <c r="AH17" s="145" t="n"/>
      <c r="AI17" s="145" t="n"/>
      <c r="AJ17" s="145" t="n"/>
      <c r="AK17" s="145" t="n"/>
      <c r="AL17" s="145" t="n"/>
      <c r="AM17" s="145" t="n"/>
      <c r="AN17" s="146" t="n"/>
      <c r="AO17" s="144" t="n"/>
      <c r="AP17" s="151" t="n"/>
    </row>
    <row r="18" ht="19.15" customHeight="1" s="294">
      <c r="A18" s="148" t="n">
        <v>10</v>
      </c>
      <c r="B18" s="145" t="n"/>
      <c r="C18" s="145" t="n"/>
      <c r="D18" s="152" t="n"/>
      <c r="E18" s="148">
        <f>AVERAGE(I18:AN18)</f>
        <v/>
      </c>
      <c r="F18" s="145">
        <f>STDEV(I18:AN18)</f>
        <v/>
      </c>
      <c r="G18" s="332">
        <f>(D18-B18)/(6*F18)</f>
        <v/>
      </c>
      <c r="H18" s="333">
        <f>MIN(((D18-E18)/(3*F18)),((E18-B18)/(3*F18)))</f>
        <v/>
      </c>
      <c r="I18" s="144" t="n"/>
      <c r="J18" s="145" t="n"/>
      <c r="K18" s="145" t="n"/>
      <c r="L18" s="145" t="n"/>
      <c r="M18" s="145" t="n"/>
      <c r="N18" s="145" t="n"/>
      <c r="O18" s="145" t="n"/>
      <c r="P18" s="145" t="n"/>
      <c r="Q18" s="145" t="n"/>
      <c r="R18" s="145" t="n"/>
      <c r="S18" s="145" t="n"/>
      <c r="T18" s="145" t="n"/>
      <c r="U18" s="145" t="n"/>
      <c r="V18" s="145" t="n"/>
      <c r="W18" s="145" t="n"/>
      <c r="X18" s="145" t="n"/>
      <c r="Y18" s="145" t="n"/>
      <c r="Z18" s="145" t="n"/>
      <c r="AA18" s="145" t="n"/>
      <c r="AB18" s="145" t="n"/>
      <c r="AC18" s="145" t="n"/>
      <c r="AD18" s="145" t="n"/>
      <c r="AE18" s="145" t="n"/>
      <c r="AF18" s="145" t="n"/>
      <c r="AG18" s="145" t="n"/>
      <c r="AH18" s="145" t="n"/>
      <c r="AI18" s="145" t="n"/>
      <c r="AJ18" s="145" t="n"/>
      <c r="AK18" s="145" t="n"/>
      <c r="AL18" s="145" t="n"/>
      <c r="AM18" s="145" t="n"/>
      <c r="AN18" s="146" t="n"/>
      <c r="AO18" s="144" t="n"/>
      <c r="AP18" s="151" t="n"/>
    </row>
    <row r="19" ht="19.15" customHeight="1" s="294">
      <c r="A19" s="148" t="n">
        <v>11</v>
      </c>
      <c r="B19" s="145" t="n"/>
      <c r="C19" s="145" t="n"/>
      <c r="D19" s="152" t="n"/>
      <c r="E19" s="148">
        <f>AVERAGE(I19:AN19)</f>
        <v/>
      </c>
      <c r="F19" s="145">
        <f>STDEV(I19:AN19)</f>
        <v/>
      </c>
      <c r="G19" s="332">
        <f>(D19-B19)/(6*F19)</f>
        <v/>
      </c>
      <c r="H19" s="333">
        <f>MIN(((D19-E19)/(3*F19)),((E19-B19)/(3*F19)))</f>
        <v/>
      </c>
      <c r="I19" s="144" t="n"/>
      <c r="J19" s="145" t="n"/>
      <c r="K19" s="145" t="n"/>
      <c r="L19" s="145" t="n"/>
      <c r="M19" s="145" t="n"/>
      <c r="N19" s="145" t="n"/>
      <c r="O19" s="145" t="n"/>
      <c r="P19" s="145" t="n"/>
      <c r="Q19" s="145" t="n"/>
      <c r="R19" s="145" t="n"/>
      <c r="S19" s="145" t="n"/>
      <c r="T19" s="145" t="n"/>
      <c r="U19" s="145" t="n"/>
      <c r="V19" s="145" t="n"/>
      <c r="W19" s="145" t="n"/>
      <c r="X19" s="145" t="n"/>
      <c r="Y19" s="145" t="n"/>
      <c r="Z19" s="145" t="n"/>
      <c r="AA19" s="145" t="n"/>
      <c r="AB19" s="145" t="n"/>
      <c r="AC19" s="145" t="n"/>
      <c r="AD19" s="145" t="n"/>
      <c r="AE19" s="145" t="n"/>
      <c r="AF19" s="145" t="n"/>
      <c r="AG19" s="145" t="n"/>
      <c r="AH19" s="145" t="n"/>
      <c r="AI19" s="145" t="n"/>
      <c r="AJ19" s="145" t="n"/>
      <c r="AK19" s="145" t="n"/>
      <c r="AL19" s="145" t="n"/>
      <c r="AM19" s="145" t="n"/>
      <c r="AN19" s="146" t="n"/>
      <c r="AO19" s="144" t="n"/>
      <c r="AP19" s="151" t="n"/>
    </row>
    <row r="20" ht="19.15" customHeight="1" s="294">
      <c r="A20" s="148" t="n">
        <v>12</v>
      </c>
      <c r="B20" s="145" t="n"/>
      <c r="C20" s="145" t="n"/>
      <c r="D20" s="152" t="n"/>
      <c r="E20" s="148">
        <f>AVERAGE(I20:AN20)</f>
        <v/>
      </c>
      <c r="F20" s="145">
        <f>STDEV(I20:AN20)</f>
        <v/>
      </c>
      <c r="G20" s="332">
        <f>(D20-B20)/(6*F20)</f>
        <v/>
      </c>
      <c r="H20" s="333">
        <f>MIN(((D20-E20)/(3*F20)),((E20-B20)/(3*F20)))</f>
        <v/>
      </c>
      <c r="I20" s="144" t="n"/>
      <c r="J20" s="145" t="n"/>
      <c r="K20" s="145" t="n"/>
      <c r="L20" s="145" t="n"/>
      <c r="M20" s="145" t="n"/>
      <c r="N20" s="145" t="n"/>
      <c r="O20" s="145" t="n"/>
      <c r="P20" s="145" t="n"/>
      <c r="Q20" s="145" t="n"/>
      <c r="R20" s="145" t="n"/>
      <c r="S20" s="145" t="n"/>
      <c r="T20" s="145" t="n"/>
      <c r="U20" s="145" t="n"/>
      <c r="V20" s="145" t="n"/>
      <c r="W20" s="145" t="n"/>
      <c r="X20" s="145" t="n"/>
      <c r="Y20" s="145" t="n"/>
      <c r="Z20" s="145" t="n"/>
      <c r="AA20" s="145" t="n"/>
      <c r="AB20" s="145" t="n"/>
      <c r="AC20" s="145" t="n"/>
      <c r="AD20" s="145" t="n"/>
      <c r="AE20" s="145" t="n"/>
      <c r="AF20" s="145" t="n"/>
      <c r="AG20" s="145" t="n"/>
      <c r="AH20" s="145" t="n"/>
      <c r="AI20" s="145" t="n"/>
      <c r="AJ20" s="145" t="n"/>
      <c r="AK20" s="145" t="n"/>
      <c r="AL20" s="145" t="n"/>
      <c r="AM20" s="145" t="n"/>
      <c r="AN20" s="146" t="n"/>
      <c r="AO20" s="144" t="n"/>
      <c r="AP20" s="151" t="n"/>
    </row>
    <row r="21" ht="19.15" customHeight="1" s="294">
      <c r="A21" s="148" t="n">
        <v>13</v>
      </c>
      <c r="B21" s="145" t="n"/>
      <c r="C21" s="145" t="n"/>
      <c r="D21" s="152" t="n"/>
      <c r="E21" s="148">
        <f>AVERAGE(I21:AN21)</f>
        <v/>
      </c>
      <c r="F21" s="145">
        <f>STDEV(I21:AN21)</f>
        <v/>
      </c>
      <c r="G21" s="332">
        <f>(D21-B21)/(6*F21)</f>
        <v/>
      </c>
      <c r="H21" s="333">
        <f>MIN(((D21-E21)/(3*F21)),((E21-B21)/(3*F21)))</f>
        <v/>
      </c>
      <c r="I21" s="144" t="n"/>
      <c r="J21" s="145" t="n"/>
      <c r="K21" s="145" t="n"/>
      <c r="L21" s="145" t="n"/>
      <c r="M21" s="145" t="n"/>
      <c r="N21" s="145" t="n"/>
      <c r="O21" s="145" t="n"/>
      <c r="P21" s="145" t="n"/>
      <c r="Q21" s="145" t="n"/>
      <c r="R21" s="145" t="n"/>
      <c r="S21" s="145" t="n"/>
      <c r="T21" s="145" t="n"/>
      <c r="U21" s="145" t="n"/>
      <c r="V21" s="145" t="n"/>
      <c r="W21" s="145" t="n"/>
      <c r="X21" s="145" t="n"/>
      <c r="Y21" s="145" t="n"/>
      <c r="Z21" s="145" t="n"/>
      <c r="AA21" s="145" t="n"/>
      <c r="AB21" s="145" t="n"/>
      <c r="AC21" s="145" t="n"/>
      <c r="AD21" s="145" t="n"/>
      <c r="AE21" s="145" t="n"/>
      <c r="AF21" s="145" t="n"/>
      <c r="AG21" s="145" t="n"/>
      <c r="AH21" s="145" t="n"/>
      <c r="AI21" s="145" t="n"/>
      <c r="AJ21" s="145" t="n"/>
      <c r="AK21" s="145" t="n"/>
      <c r="AL21" s="145" t="n"/>
      <c r="AM21" s="145" t="n"/>
      <c r="AN21" s="146" t="n"/>
      <c r="AO21" s="144" t="n"/>
      <c r="AP21" s="151" t="n"/>
    </row>
    <row r="22" ht="19.15" customHeight="1" s="294">
      <c r="A22" s="148" t="n">
        <v>14</v>
      </c>
      <c r="B22" s="145" t="n"/>
      <c r="C22" s="145" t="n"/>
      <c r="D22" s="152" t="n"/>
      <c r="E22" s="148">
        <f>AVERAGE(I22:AN22)</f>
        <v/>
      </c>
      <c r="F22" s="145">
        <f>STDEV(I22:AN22)</f>
        <v/>
      </c>
      <c r="G22" s="332">
        <f>(D22-B22)/(6*F22)</f>
        <v/>
      </c>
      <c r="H22" s="333">
        <f>MIN(((D22-E22)/(3*F22)),((E22-B22)/(3*F22)))</f>
        <v/>
      </c>
      <c r="I22" s="144" t="n"/>
      <c r="J22" s="145" t="n"/>
      <c r="K22" s="145" t="n"/>
      <c r="L22" s="145" t="n"/>
      <c r="M22" s="145" t="n"/>
      <c r="N22" s="145" t="n"/>
      <c r="O22" s="145" t="n"/>
      <c r="P22" s="145" t="n"/>
      <c r="Q22" s="145" t="n"/>
      <c r="R22" s="145" t="n"/>
      <c r="S22" s="145" t="n"/>
      <c r="T22" s="145" t="n"/>
      <c r="U22" s="145" t="n"/>
      <c r="V22" s="145" t="n"/>
      <c r="W22" s="145" t="n"/>
      <c r="X22" s="145" t="n"/>
      <c r="Y22" s="145" t="n"/>
      <c r="Z22" s="145" t="n"/>
      <c r="AA22" s="145" t="n"/>
      <c r="AB22" s="145" t="n"/>
      <c r="AC22" s="145" t="n"/>
      <c r="AD22" s="145" t="n"/>
      <c r="AE22" s="145" t="n"/>
      <c r="AF22" s="145" t="n"/>
      <c r="AG22" s="145" t="n"/>
      <c r="AH22" s="145" t="n"/>
      <c r="AI22" s="145" t="n"/>
      <c r="AJ22" s="145" t="n"/>
      <c r="AK22" s="145" t="n"/>
      <c r="AL22" s="145" t="n"/>
      <c r="AM22" s="145" t="n"/>
      <c r="AN22" s="146" t="n"/>
      <c r="AO22" s="144" t="n"/>
      <c r="AP22" s="151" t="n"/>
    </row>
    <row r="23" ht="19.15" customHeight="1" s="294">
      <c r="A23" s="148" t="n">
        <v>15</v>
      </c>
      <c r="B23" s="145" t="n"/>
      <c r="C23" s="145" t="n"/>
      <c r="D23" s="152" t="n"/>
      <c r="E23" s="148">
        <f>AVERAGE(I23:AN23)</f>
        <v/>
      </c>
      <c r="F23" s="145">
        <f>STDEV(I23:AN23)</f>
        <v/>
      </c>
      <c r="G23" s="332">
        <f>(D23-B23)/(6*F23)</f>
        <v/>
      </c>
      <c r="H23" s="333">
        <f>MIN(((D23-E23)/(3*F23)),((E23-B23)/(3*F23)))</f>
        <v/>
      </c>
      <c r="I23" s="144" t="n"/>
      <c r="J23" s="145" t="n"/>
      <c r="K23" s="145" t="n"/>
      <c r="L23" s="145" t="n"/>
      <c r="M23" s="145" t="n"/>
      <c r="N23" s="145" t="n"/>
      <c r="O23" s="145" t="n"/>
      <c r="P23" s="145" t="n"/>
      <c r="Q23" s="145" t="n"/>
      <c r="R23" s="145" t="n"/>
      <c r="S23" s="145" t="n"/>
      <c r="T23" s="145" t="n"/>
      <c r="U23" s="145" t="n"/>
      <c r="V23" s="145" t="n"/>
      <c r="W23" s="145" t="n"/>
      <c r="X23" s="145" t="n"/>
      <c r="Y23" s="145" t="n"/>
      <c r="Z23" s="145" t="n"/>
      <c r="AA23" s="145" t="n"/>
      <c r="AB23" s="145" t="n"/>
      <c r="AC23" s="145" t="n"/>
      <c r="AD23" s="145" t="n"/>
      <c r="AE23" s="145" t="n"/>
      <c r="AF23" s="145" t="n"/>
      <c r="AG23" s="145" t="n"/>
      <c r="AH23" s="145" t="n"/>
      <c r="AI23" s="145" t="n"/>
      <c r="AJ23" s="145" t="n"/>
      <c r="AK23" s="145" t="n"/>
      <c r="AL23" s="145" t="n"/>
      <c r="AM23" s="145" t="n"/>
      <c r="AN23" s="146" t="n"/>
      <c r="AO23" s="144" t="n"/>
      <c r="AP23" s="151" t="n"/>
    </row>
    <row r="24" ht="19.15" customHeight="1" s="294">
      <c r="A24" s="148" t="n">
        <v>16</v>
      </c>
      <c r="B24" s="145" t="n"/>
      <c r="C24" s="145" t="n"/>
      <c r="D24" s="152" t="n"/>
      <c r="E24" s="148">
        <f>AVERAGE(I24:AN24)</f>
        <v/>
      </c>
      <c r="F24" s="145">
        <f>STDEV(I24:AN24)</f>
        <v/>
      </c>
      <c r="G24" s="332">
        <f>(D24-B24)/(6*F24)</f>
        <v/>
      </c>
      <c r="H24" s="333">
        <f>MIN(((D24-E24)/(3*F24)),((E24-B24)/(3*F24)))</f>
        <v/>
      </c>
      <c r="I24" s="144" t="n"/>
      <c r="J24" s="145" t="n"/>
      <c r="K24" s="145" t="n"/>
      <c r="L24" s="145" t="n"/>
      <c r="M24" s="145" t="n"/>
      <c r="N24" s="145" t="n"/>
      <c r="O24" s="145" t="n"/>
      <c r="P24" s="145" t="n"/>
      <c r="Q24" s="145" t="n"/>
      <c r="R24" s="145" t="n"/>
      <c r="S24" s="145" t="n"/>
      <c r="T24" s="145" t="n"/>
      <c r="U24" s="145" t="n"/>
      <c r="V24" s="145" t="n"/>
      <c r="W24" s="145" t="n"/>
      <c r="X24" s="145" t="n"/>
      <c r="Y24" s="145" t="n"/>
      <c r="Z24" s="145" t="n"/>
      <c r="AA24" s="145" t="n"/>
      <c r="AB24" s="145" t="n"/>
      <c r="AC24" s="145" t="n"/>
      <c r="AD24" s="145" t="n"/>
      <c r="AE24" s="145" t="n"/>
      <c r="AF24" s="145" t="n"/>
      <c r="AG24" s="145" t="n"/>
      <c r="AH24" s="145" t="n"/>
      <c r="AI24" s="145" t="n"/>
      <c r="AJ24" s="145" t="n"/>
      <c r="AK24" s="145" t="n"/>
      <c r="AL24" s="145" t="n"/>
      <c r="AM24" s="145" t="n"/>
      <c r="AN24" s="146" t="n"/>
      <c r="AO24" s="144" t="n"/>
      <c r="AP24" s="151" t="n"/>
    </row>
    <row r="25" ht="19.15" customHeight="1" s="294">
      <c r="A25" s="148" t="n">
        <v>17</v>
      </c>
      <c r="B25" s="145" t="n"/>
      <c r="C25" s="145" t="n"/>
      <c r="D25" s="152" t="n"/>
      <c r="E25" s="148">
        <f>AVERAGE(I25:AN25)</f>
        <v/>
      </c>
      <c r="F25" s="145">
        <f>STDEV(I25:AN25)</f>
        <v/>
      </c>
      <c r="G25" s="332">
        <f>(D25-B25)/(6*F25)</f>
        <v/>
      </c>
      <c r="H25" s="333">
        <f>MIN(((D25-E25)/(3*F25)),((E25-B25)/(3*F25)))</f>
        <v/>
      </c>
      <c r="I25" s="144" t="n"/>
      <c r="J25" s="145" t="n"/>
      <c r="K25" s="145" t="n"/>
      <c r="L25" s="145" t="n"/>
      <c r="M25" s="145" t="n"/>
      <c r="N25" s="145" t="n"/>
      <c r="O25" s="145" t="n"/>
      <c r="P25" s="145" t="n"/>
      <c r="Q25" s="145" t="n"/>
      <c r="R25" s="145" t="n"/>
      <c r="S25" s="145" t="n"/>
      <c r="T25" s="145" t="n"/>
      <c r="U25" s="145" t="n"/>
      <c r="V25" s="145" t="n"/>
      <c r="W25" s="145" t="n"/>
      <c r="X25" s="145" t="n"/>
      <c r="Y25" s="145" t="n"/>
      <c r="Z25" s="145" t="n"/>
      <c r="AA25" s="145" t="n"/>
      <c r="AB25" s="145" t="n"/>
      <c r="AC25" s="145" t="n"/>
      <c r="AD25" s="145" t="n"/>
      <c r="AE25" s="145" t="n"/>
      <c r="AF25" s="145" t="n"/>
      <c r="AG25" s="145" t="n"/>
      <c r="AH25" s="145" t="n"/>
      <c r="AI25" s="145" t="n"/>
      <c r="AJ25" s="145" t="n"/>
      <c r="AK25" s="145" t="n"/>
      <c r="AL25" s="145" t="n"/>
      <c r="AM25" s="145" t="n"/>
      <c r="AN25" s="146" t="n"/>
      <c r="AO25" s="144" t="n"/>
      <c r="AP25" s="151" t="n"/>
    </row>
    <row r="26" ht="19.15" customHeight="1" s="294">
      <c r="A26" s="148" t="n">
        <v>18</v>
      </c>
      <c r="B26" s="145" t="n"/>
      <c r="C26" s="145" t="n"/>
      <c r="D26" s="152" t="n"/>
      <c r="E26" s="148">
        <f>AVERAGE(I26:AN26)</f>
        <v/>
      </c>
      <c r="F26" s="145">
        <f>STDEV(I26:AN26)</f>
        <v/>
      </c>
      <c r="G26" s="332">
        <f>(D26-B26)/(6*F26)</f>
        <v/>
      </c>
      <c r="H26" s="333">
        <f>MIN(((D26-E26)/(3*F26)),((E26-B26)/(3*F26)))</f>
        <v/>
      </c>
      <c r="I26" s="144" t="n"/>
      <c r="J26" s="145" t="n"/>
      <c r="K26" s="145" t="n"/>
      <c r="L26" s="145" t="n"/>
      <c r="M26" s="145" t="n"/>
      <c r="N26" s="145" t="n"/>
      <c r="O26" s="145" t="n"/>
      <c r="P26" s="145" t="n"/>
      <c r="Q26" s="145" t="n"/>
      <c r="R26" s="145" t="n"/>
      <c r="S26" s="145" t="n"/>
      <c r="T26" s="145" t="n"/>
      <c r="U26" s="145" t="n"/>
      <c r="V26" s="145" t="n"/>
      <c r="W26" s="145" t="n"/>
      <c r="X26" s="145" t="n"/>
      <c r="Y26" s="145" t="n"/>
      <c r="Z26" s="145" t="n"/>
      <c r="AA26" s="145" t="n"/>
      <c r="AB26" s="145" t="n"/>
      <c r="AC26" s="145" t="n"/>
      <c r="AD26" s="145" t="n"/>
      <c r="AE26" s="145" t="n"/>
      <c r="AF26" s="145" t="n"/>
      <c r="AG26" s="145" t="n"/>
      <c r="AH26" s="145" t="n"/>
      <c r="AI26" s="145" t="n"/>
      <c r="AJ26" s="145" t="n"/>
      <c r="AK26" s="145" t="n"/>
      <c r="AL26" s="145" t="n"/>
      <c r="AM26" s="145" t="n"/>
      <c r="AN26" s="146" t="n"/>
      <c r="AO26" s="144" t="n"/>
      <c r="AP26" s="151" t="n"/>
    </row>
    <row r="27" ht="19.15" customHeight="1" s="294">
      <c r="A27" s="148" t="n">
        <v>19</v>
      </c>
      <c r="B27" s="145" t="n"/>
      <c r="C27" s="145" t="n"/>
      <c r="D27" s="152" t="n"/>
      <c r="E27" s="148">
        <f>AVERAGE(I27:AN27)</f>
        <v/>
      </c>
      <c r="F27" s="145">
        <f>STDEV(I27:AN27)</f>
        <v/>
      </c>
      <c r="G27" s="332">
        <f>(D27-B27)/(6*F27)</f>
        <v/>
      </c>
      <c r="H27" s="333">
        <f>MIN(((D27-E27)/(3*F27)),((E27-B27)/(3*F27)))</f>
        <v/>
      </c>
      <c r="I27" s="144" t="n"/>
      <c r="J27" s="145" t="n"/>
      <c r="K27" s="145" t="n"/>
      <c r="L27" s="145" t="n"/>
      <c r="M27" s="145" t="n"/>
      <c r="N27" s="145" t="n"/>
      <c r="O27" s="145" t="n"/>
      <c r="P27" s="145" t="n"/>
      <c r="Q27" s="145" t="n"/>
      <c r="R27" s="145" t="n"/>
      <c r="S27" s="145" t="n"/>
      <c r="T27" s="145" t="n"/>
      <c r="U27" s="145" t="n"/>
      <c r="V27" s="145" t="n"/>
      <c r="W27" s="145" t="n"/>
      <c r="X27" s="145" t="n"/>
      <c r="Y27" s="145" t="n"/>
      <c r="Z27" s="145" t="n"/>
      <c r="AA27" s="145" t="n"/>
      <c r="AB27" s="145" t="n"/>
      <c r="AC27" s="145" t="n"/>
      <c r="AD27" s="145" t="n"/>
      <c r="AE27" s="145" t="n"/>
      <c r="AF27" s="145" t="n"/>
      <c r="AG27" s="145" t="n"/>
      <c r="AH27" s="145" t="n"/>
      <c r="AI27" s="145" t="n"/>
      <c r="AJ27" s="145" t="n"/>
      <c r="AK27" s="145" t="n"/>
      <c r="AL27" s="145" t="n"/>
      <c r="AM27" s="145" t="n"/>
      <c r="AN27" s="146" t="n"/>
      <c r="AO27" s="144" t="n"/>
      <c r="AP27" s="151" t="n"/>
    </row>
    <row r="28" ht="19.15" customHeight="1" s="294">
      <c r="A28" s="148" t="n">
        <v>20</v>
      </c>
      <c r="B28" s="145" t="n"/>
      <c r="C28" s="145" t="n"/>
      <c r="D28" s="152" t="n"/>
      <c r="E28" s="148">
        <f>AVERAGE(I28:AN28)</f>
        <v/>
      </c>
      <c r="F28" s="145">
        <f>STDEV(I28:AN28)</f>
        <v/>
      </c>
      <c r="G28" s="332">
        <f>(D28-B28)/(6*F28)</f>
        <v/>
      </c>
      <c r="H28" s="333">
        <f>MIN(((D28-E28)/(3*F28)),((E28-B28)/(3*F28)))</f>
        <v/>
      </c>
      <c r="I28" s="144" t="n"/>
      <c r="J28" s="145" t="n"/>
      <c r="K28" s="145" t="n"/>
      <c r="L28" s="145" t="n"/>
      <c r="M28" s="145" t="n"/>
      <c r="N28" s="145" t="n"/>
      <c r="O28" s="145" t="n"/>
      <c r="P28" s="145" t="n"/>
      <c r="Q28" s="145" t="n"/>
      <c r="R28" s="145" t="n"/>
      <c r="S28" s="145" t="n"/>
      <c r="T28" s="145" t="n"/>
      <c r="U28" s="145" t="n"/>
      <c r="V28" s="145" t="n"/>
      <c r="W28" s="145" t="n"/>
      <c r="X28" s="145" t="n"/>
      <c r="Y28" s="145" t="n"/>
      <c r="Z28" s="145" t="n"/>
      <c r="AA28" s="145" t="n"/>
      <c r="AB28" s="145" t="n"/>
      <c r="AC28" s="145" t="n"/>
      <c r="AD28" s="145" t="n"/>
      <c r="AE28" s="145" t="n"/>
      <c r="AF28" s="145" t="n"/>
      <c r="AG28" s="145" t="n"/>
      <c r="AH28" s="145" t="n"/>
      <c r="AI28" s="145" t="n"/>
      <c r="AJ28" s="145" t="n"/>
      <c r="AK28" s="145" t="n"/>
      <c r="AL28" s="145" t="n"/>
      <c r="AM28" s="145" t="n"/>
      <c r="AN28" s="146" t="n"/>
      <c r="AO28" s="144" t="n"/>
      <c r="AP28" s="151" t="n"/>
    </row>
    <row r="29" ht="19.15" customHeight="1" s="294">
      <c r="A29" s="148" t="n">
        <v>21</v>
      </c>
      <c r="B29" s="145" t="n"/>
      <c r="C29" s="145" t="n"/>
      <c r="D29" s="152" t="n"/>
      <c r="E29" s="148">
        <f>AVERAGE(I29:AN29)</f>
        <v/>
      </c>
      <c r="F29" s="145">
        <f>STDEV(I29:AN29)</f>
        <v/>
      </c>
      <c r="G29" s="332">
        <f>(D29-B29)/(6*F29)</f>
        <v/>
      </c>
      <c r="H29" s="333">
        <f>MIN(((D29-E29)/(3*F29)),((E29-B29)/(3*F29)))</f>
        <v/>
      </c>
      <c r="I29" s="144" t="n"/>
      <c r="J29" s="145" t="n"/>
      <c r="K29" s="145" t="n"/>
      <c r="L29" s="145" t="n"/>
      <c r="M29" s="145" t="n"/>
      <c r="N29" s="145" t="n"/>
      <c r="O29" s="145" t="n"/>
      <c r="P29" s="145" t="n"/>
      <c r="Q29" s="145" t="n"/>
      <c r="R29" s="145" t="n"/>
      <c r="S29" s="145" t="n"/>
      <c r="T29" s="145" t="n"/>
      <c r="U29" s="145" t="n"/>
      <c r="V29" s="145" t="n"/>
      <c r="W29" s="145" t="n"/>
      <c r="X29" s="145" t="n"/>
      <c r="Y29" s="145" t="n"/>
      <c r="Z29" s="145" t="n"/>
      <c r="AA29" s="145" t="n"/>
      <c r="AB29" s="145" t="n"/>
      <c r="AC29" s="145" t="n"/>
      <c r="AD29" s="145" t="n"/>
      <c r="AE29" s="145" t="n"/>
      <c r="AF29" s="145" t="n"/>
      <c r="AG29" s="145" t="n"/>
      <c r="AH29" s="145" t="n"/>
      <c r="AI29" s="145" t="n"/>
      <c r="AJ29" s="145" t="n"/>
      <c r="AK29" s="145" t="n"/>
      <c r="AL29" s="145" t="n"/>
      <c r="AM29" s="145" t="n"/>
      <c r="AN29" s="146" t="n"/>
      <c r="AO29" s="144" t="n"/>
      <c r="AP29" s="151" t="n"/>
    </row>
    <row r="30" ht="19.15" customHeight="1" s="294">
      <c r="A30" s="148" t="n">
        <v>22</v>
      </c>
      <c r="B30" s="145" t="n"/>
      <c r="C30" s="145" t="n"/>
      <c r="D30" s="152" t="n"/>
      <c r="E30" s="148">
        <f>AVERAGE(I30:AN30)</f>
        <v/>
      </c>
      <c r="F30" s="145">
        <f>STDEV(I30:AN30)</f>
        <v/>
      </c>
      <c r="G30" s="332">
        <f>(D30-B30)/(6*F30)</f>
        <v/>
      </c>
      <c r="H30" s="333">
        <f>MIN(((D30-E30)/(3*F30)),((E30-B30)/(3*F30)))</f>
        <v/>
      </c>
      <c r="I30" s="144" t="n"/>
      <c r="J30" s="145" t="n"/>
      <c r="K30" s="145" t="n"/>
      <c r="L30" s="145" t="n"/>
      <c r="M30" s="145" t="n"/>
      <c r="N30" s="145" t="n"/>
      <c r="O30" s="145" t="n"/>
      <c r="P30" s="145" t="n"/>
      <c r="Q30" s="145" t="n"/>
      <c r="R30" s="145" t="n"/>
      <c r="S30" s="145" t="n"/>
      <c r="T30" s="145" t="n"/>
      <c r="U30" s="145" t="n"/>
      <c r="V30" s="145" t="n"/>
      <c r="W30" s="145" t="n"/>
      <c r="X30" s="145" t="n"/>
      <c r="Y30" s="145" t="n"/>
      <c r="Z30" s="145" t="n"/>
      <c r="AA30" s="145" t="n"/>
      <c r="AB30" s="145" t="n"/>
      <c r="AC30" s="145" t="n"/>
      <c r="AD30" s="145" t="n"/>
      <c r="AE30" s="145" t="n"/>
      <c r="AF30" s="145" t="n"/>
      <c r="AG30" s="145" t="n"/>
      <c r="AH30" s="145" t="n"/>
      <c r="AI30" s="145" t="n"/>
      <c r="AJ30" s="145" t="n"/>
      <c r="AK30" s="145" t="n"/>
      <c r="AL30" s="145" t="n"/>
      <c r="AM30" s="145" t="n"/>
      <c r="AN30" s="146" t="n"/>
      <c r="AO30" s="144" t="n"/>
      <c r="AP30" s="151" t="n"/>
    </row>
    <row r="31" ht="19.15" customHeight="1" s="294">
      <c r="A31" s="148" t="n">
        <v>23</v>
      </c>
      <c r="B31" s="145" t="n"/>
      <c r="C31" s="145" t="n"/>
      <c r="D31" s="152" t="n"/>
      <c r="E31" s="148">
        <f>AVERAGE(I31:AN31)</f>
        <v/>
      </c>
      <c r="F31" s="145">
        <f>STDEV(I31:AN31)</f>
        <v/>
      </c>
      <c r="G31" s="332">
        <f>(D31-B31)/(6*F31)</f>
        <v/>
      </c>
      <c r="H31" s="333">
        <f>MIN(((D31-E31)/(3*F31)),((E31-B31)/(3*F31)))</f>
        <v/>
      </c>
      <c r="I31" s="144" t="n"/>
      <c r="J31" s="145" t="n"/>
      <c r="K31" s="145" t="n"/>
      <c r="L31" s="145" t="n"/>
      <c r="M31" s="145" t="n"/>
      <c r="N31" s="145" t="n"/>
      <c r="O31" s="145" t="n"/>
      <c r="P31" s="145" t="n"/>
      <c r="Q31" s="145" t="n"/>
      <c r="R31" s="145" t="n"/>
      <c r="S31" s="145" t="n"/>
      <c r="T31" s="145" t="n"/>
      <c r="U31" s="145" t="n"/>
      <c r="V31" s="145" t="n"/>
      <c r="W31" s="145" t="n"/>
      <c r="X31" s="145" t="n"/>
      <c r="Y31" s="145" t="n"/>
      <c r="Z31" s="145" t="n"/>
      <c r="AA31" s="145" t="n"/>
      <c r="AB31" s="145" t="n"/>
      <c r="AC31" s="145" t="n"/>
      <c r="AD31" s="145" t="n"/>
      <c r="AE31" s="145" t="n"/>
      <c r="AF31" s="145" t="n"/>
      <c r="AG31" s="145" t="n"/>
      <c r="AH31" s="145" t="n"/>
      <c r="AI31" s="145" t="n"/>
      <c r="AJ31" s="145" t="n"/>
      <c r="AK31" s="145" t="n"/>
      <c r="AL31" s="145" t="n"/>
      <c r="AM31" s="145" t="n"/>
      <c r="AN31" s="146" t="n"/>
      <c r="AO31" s="144" t="n"/>
      <c r="AP31" s="151" t="n"/>
    </row>
    <row r="32" ht="19.15" customHeight="1" s="294">
      <c r="A32" s="148" t="n">
        <v>24</v>
      </c>
      <c r="B32" s="145" t="n"/>
      <c r="C32" s="145" t="n"/>
      <c r="D32" s="152" t="n"/>
      <c r="E32" s="148">
        <f>AVERAGE(I32:AN32)</f>
        <v/>
      </c>
      <c r="F32" s="145">
        <f>STDEV(I32:AN32)</f>
        <v/>
      </c>
      <c r="G32" s="332">
        <f>(D32-B32)/(6*F32)</f>
        <v/>
      </c>
      <c r="H32" s="333">
        <f>MIN(((D32-E32)/(3*F32)),((E32-B32)/(3*F32)))</f>
        <v/>
      </c>
      <c r="I32" s="144" t="n"/>
      <c r="J32" s="145" t="n"/>
      <c r="K32" s="145" t="n"/>
      <c r="L32" s="145" t="n"/>
      <c r="M32" s="145" t="n"/>
      <c r="N32" s="145" t="n"/>
      <c r="O32" s="145" t="n"/>
      <c r="P32" s="145" t="n"/>
      <c r="Q32" s="145" t="n"/>
      <c r="R32" s="145" t="n"/>
      <c r="S32" s="145" t="n"/>
      <c r="T32" s="145" t="n"/>
      <c r="U32" s="145" t="n"/>
      <c r="V32" s="145" t="n"/>
      <c r="W32" s="145" t="n"/>
      <c r="X32" s="145" t="n"/>
      <c r="Y32" s="145" t="n"/>
      <c r="Z32" s="145" t="n"/>
      <c r="AA32" s="145" t="n"/>
      <c r="AB32" s="145" t="n"/>
      <c r="AC32" s="145" t="n"/>
      <c r="AD32" s="145" t="n"/>
      <c r="AE32" s="145" t="n"/>
      <c r="AF32" s="145" t="n"/>
      <c r="AG32" s="145" t="n"/>
      <c r="AH32" s="145" t="n"/>
      <c r="AI32" s="145" t="n"/>
      <c r="AJ32" s="145" t="n"/>
      <c r="AK32" s="145" t="n"/>
      <c r="AL32" s="145" t="n"/>
      <c r="AM32" s="145" t="n"/>
      <c r="AN32" s="146" t="n"/>
      <c r="AO32" s="144" t="n"/>
      <c r="AP32" s="151" t="n"/>
    </row>
    <row r="33" ht="19.15" customHeight="1" s="294">
      <c r="A33" s="148" t="n">
        <v>25</v>
      </c>
      <c r="B33" s="145" t="n"/>
      <c r="C33" s="145" t="n"/>
      <c r="D33" s="152" t="n"/>
      <c r="E33" s="148">
        <f>AVERAGE(I33:AN33)</f>
        <v/>
      </c>
      <c r="F33" s="145">
        <f>STDEV(I33:AN33)</f>
        <v/>
      </c>
      <c r="G33" s="332">
        <f>(D33-B33)/(6*F33)</f>
        <v/>
      </c>
      <c r="H33" s="333">
        <f>MIN(((D33-E33)/(3*F33)),((E33-B33)/(3*F33)))</f>
        <v/>
      </c>
      <c r="I33" s="144" t="n"/>
      <c r="J33" s="145" t="n"/>
      <c r="K33" s="145" t="n"/>
      <c r="L33" s="145" t="n"/>
      <c r="M33" s="145" t="n"/>
      <c r="N33" s="145" t="n"/>
      <c r="O33" s="145" t="n"/>
      <c r="P33" s="145" t="n"/>
      <c r="Q33" s="145" t="n"/>
      <c r="R33" s="145" t="n"/>
      <c r="S33" s="145" t="n"/>
      <c r="T33" s="145" t="n"/>
      <c r="U33" s="145" t="n"/>
      <c r="V33" s="145" t="n"/>
      <c r="W33" s="145" t="n"/>
      <c r="X33" s="145" t="n"/>
      <c r="Y33" s="145" t="n"/>
      <c r="Z33" s="145" t="n"/>
      <c r="AA33" s="145" t="n"/>
      <c r="AB33" s="145" t="n"/>
      <c r="AC33" s="145" t="n"/>
      <c r="AD33" s="145" t="n"/>
      <c r="AE33" s="145" t="n"/>
      <c r="AF33" s="145" t="n"/>
      <c r="AG33" s="145" t="n"/>
      <c r="AH33" s="145" t="n"/>
      <c r="AI33" s="145" t="n"/>
      <c r="AJ33" s="145" t="n"/>
      <c r="AK33" s="145" t="n"/>
      <c r="AL33" s="145" t="n"/>
      <c r="AM33" s="145" t="n"/>
      <c r="AN33" s="146" t="n"/>
      <c r="AO33" s="144" t="n"/>
      <c r="AP33" s="151" t="n"/>
    </row>
    <row r="34" ht="19.15" customHeight="1" s="294">
      <c r="A34" s="148" t="n">
        <v>26</v>
      </c>
      <c r="B34" s="145" t="n"/>
      <c r="C34" s="145" t="n"/>
      <c r="D34" s="152" t="n"/>
      <c r="E34" s="148">
        <f>AVERAGE(I34:AN34)</f>
        <v/>
      </c>
      <c r="F34" s="145">
        <f>STDEV(I34:AN34)</f>
        <v/>
      </c>
      <c r="G34" s="332">
        <f>(D34-B34)/(6*F34)</f>
        <v/>
      </c>
      <c r="H34" s="333">
        <f>MIN(((D34-E34)/(3*F34)),((E34-B34)/(3*F34)))</f>
        <v/>
      </c>
      <c r="I34" s="144" t="n"/>
      <c r="J34" s="145" t="n"/>
      <c r="K34" s="145" t="n"/>
      <c r="L34" s="145" t="n"/>
      <c r="M34" s="145" t="n"/>
      <c r="N34" s="145" t="n"/>
      <c r="O34" s="145" t="n"/>
      <c r="P34" s="145" t="n"/>
      <c r="Q34" s="145" t="n"/>
      <c r="R34" s="145" t="n"/>
      <c r="S34" s="145" t="n"/>
      <c r="T34" s="145" t="n"/>
      <c r="U34" s="145" t="n"/>
      <c r="V34" s="145" t="n"/>
      <c r="W34" s="145" t="n"/>
      <c r="X34" s="145" t="n"/>
      <c r="Y34" s="145" t="n"/>
      <c r="Z34" s="145" t="n"/>
      <c r="AA34" s="145" t="n"/>
      <c r="AB34" s="145" t="n"/>
      <c r="AC34" s="145" t="n"/>
      <c r="AD34" s="145" t="n"/>
      <c r="AE34" s="145" t="n"/>
      <c r="AF34" s="145" t="n"/>
      <c r="AG34" s="145" t="n"/>
      <c r="AH34" s="145" t="n"/>
      <c r="AI34" s="145" t="n"/>
      <c r="AJ34" s="145" t="n"/>
      <c r="AK34" s="145" t="n"/>
      <c r="AL34" s="145" t="n"/>
      <c r="AM34" s="145" t="n"/>
      <c r="AN34" s="146" t="n"/>
      <c r="AO34" s="144" t="n"/>
      <c r="AP34" s="151" t="n"/>
    </row>
    <row r="35" ht="19.15" customHeight="1" s="294">
      <c r="A35" s="148" t="n">
        <v>27</v>
      </c>
      <c r="B35" s="145" t="n"/>
      <c r="C35" s="145" t="n"/>
      <c r="D35" s="152" t="n"/>
      <c r="E35" s="148">
        <f>AVERAGE(I35:AN35)</f>
        <v/>
      </c>
      <c r="F35" s="145">
        <f>STDEV(I35:AN35)</f>
        <v/>
      </c>
      <c r="G35" s="332">
        <f>(D35-B35)/(6*F35)</f>
        <v/>
      </c>
      <c r="H35" s="333">
        <f>MIN(((D35-E35)/(3*F35)),((E35-B35)/(3*F35)))</f>
        <v/>
      </c>
      <c r="I35" s="144" t="n"/>
      <c r="J35" s="145" t="n"/>
      <c r="K35" s="145" t="n"/>
      <c r="L35" s="145" t="n"/>
      <c r="M35" s="145" t="n"/>
      <c r="N35" s="145" t="n"/>
      <c r="O35" s="145" t="n"/>
      <c r="P35" s="145" t="n"/>
      <c r="Q35" s="145" t="n"/>
      <c r="R35" s="145" t="n"/>
      <c r="S35" s="145" t="n"/>
      <c r="T35" s="145" t="n"/>
      <c r="U35" s="145" t="n"/>
      <c r="V35" s="145" t="n"/>
      <c r="W35" s="145" t="n"/>
      <c r="X35" s="145" t="n"/>
      <c r="Y35" s="145" t="n"/>
      <c r="Z35" s="145" t="n"/>
      <c r="AA35" s="145" t="n"/>
      <c r="AB35" s="145" t="n"/>
      <c r="AC35" s="145" t="n"/>
      <c r="AD35" s="145" t="n"/>
      <c r="AE35" s="145" t="n"/>
      <c r="AF35" s="145" t="n"/>
      <c r="AG35" s="145" t="n"/>
      <c r="AH35" s="145" t="n"/>
      <c r="AI35" s="145" t="n"/>
      <c r="AJ35" s="145" t="n"/>
      <c r="AK35" s="145" t="n"/>
      <c r="AL35" s="145" t="n"/>
      <c r="AM35" s="145" t="n"/>
      <c r="AN35" s="146" t="n"/>
      <c r="AO35" s="144" t="n"/>
      <c r="AP35" s="151" t="n"/>
    </row>
    <row r="36" ht="19.15" customHeight="1" s="294">
      <c r="A36" s="148" t="n">
        <v>28</v>
      </c>
      <c r="B36" s="145" t="n"/>
      <c r="C36" s="145" t="n"/>
      <c r="D36" s="152" t="n"/>
      <c r="E36" s="148">
        <f>AVERAGE(I36:AN36)</f>
        <v/>
      </c>
      <c r="F36" s="145">
        <f>STDEV(I36:AN36)</f>
        <v/>
      </c>
      <c r="G36" s="332">
        <f>(D36-B36)/(6*F36)</f>
        <v/>
      </c>
      <c r="H36" s="333">
        <f>MIN(((D36-E36)/(3*F36)),((E36-B36)/(3*F36)))</f>
        <v/>
      </c>
      <c r="I36" s="144" t="n"/>
      <c r="J36" s="145" t="n"/>
      <c r="K36" s="145" t="n"/>
      <c r="L36" s="145" t="n"/>
      <c r="M36" s="145" t="n"/>
      <c r="N36" s="145" t="n"/>
      <c r="O36" s="145" t="n"/>
      <c r="P36" s="145" t="n"/>
      <c r="Q36" s="145" t="n"/>
      <c r="R36" s="145" t="n"/>
      <c r="S36" s="145" t="n"/>
      <c r="T36" s="145" t="n"/>
      <c r="U36" s="145" t="n"/>
      <c r="V36" s="145" t="n"/>
      <c r="W36" s="145" t="n"/>
      <c r="X36" s="145" t="n"/>
      <c r="Y36" s="145" t="n"/>
      <c r="Z36" s="145" t="n"/>
      <c r="AA36" s="145" t="n"/>
      <c r="AB36" s="145" t="n"/>
      <c r="AC36" s="145" t="n"/>
      <c r="AD36" s="145" t="n"/>
      <c r="AE36" s="145" t="n"/>
      <c r="AF36" s="145" t="n"/>
      <c r="AG36" s="145" t="n"/>
      <c r="AH36" s="145" t="n"/>
      <c r="AI36" s="145" t="n"/>
      <c r="AJ36" s="145" t="n"/>
      <c r="AK36" s="145" t="n"/>
      <c r="AL36" s="145" t="n"/>
      <c r="AM36" s="145" t="n"/>
      <c r="AN36" s="146" t="n"/>
      <c r="AO36" s="144" t="n"/>
      <c r="AP36" s="151" t="n"/>
    </row>
    <row r="37" ht="19.15" customHeight="1" s="294">
      <c r="A37" s="148" t="n">
        <v>29</v>
      </c>
      <c r="B37" s="145" t="n"/>
      <c r="C37" s="145" t="n"/>
      <c r="D37" s="152" t="n"/>
      <c r="E37" s="148">
        <f>AVERAGE(I37:AN37)</f>
        <v/>
      </c>
      <c r="F37" s="145">
        <f>STDEV(I37:AN37)</f>
        <v/>
      </c>
      <c r="G37" s="332">
        <f>(D37-B37)/(6*F37)</f>
        <v/>
      </c>
      <c r="H37" s="333">
        <f>MIN(((D37-E37)/(3*F37)),((E37-B37)/(3*F37)))</f>
        <v/>
      </c>
      <c r="I37" s="144" t="n"/>
      <c r="J37" s="145" t="n"/>
      <c r="K37" s="145" t="n"/>
      <c r="L37" s="145" t="n"/>
      <c r="M37" s="145" t="n"/>
      <c r="N37" s="145" t="n"/>
      <c r="O37" s="145" t="n"/>
      <c r="P37" s="145" t="n"/>
      <c r="Q37" s="145" t="n"/>
      <c r="R37" s="145" t="n"/>
      <c r="S37" s="145" t="n"/>
      <c r="T37" s="145" t="n"/>
      <c r="U37" s="145" t="n"/>
      <c r="V37" s="145" t="n"/>
      <c r="W37" s="145" t="n"/>
      <c r="X37" s="145" t="n"/>
      <c r="Y37" s="145" t="n"/>
      <c r="Z37" s="145" t="n"/>
      <c r="AA37" s="145" t="n"/>
      <c r="AB37" s="145" t="n"/>
      <c r="AC37" s="145" t="n"/>
      <c r="AD37" s="145" t="n"/>
      <c r="AE37" s="145" t="n"/>
      <c r="AF37" s="145" t="n"/>
      <c r="AG37" s="145" t="n"/>
      <c r="AH37" s="145" t="n"/>
      <c r="AI37" s="145" t="n"/>
      <c r="AJ37" s="145" t="n"/>
      <c r="AK37" s="145" t="n"/>
      <c r="AL37" s="145" t="n"/>
      <c r="AM37" s="145" t="n"/>
      <c r="AN37" s="146" t="n"/>
      <c r="AO37" s="144" t="n"/>
      <c r="AP37" s="151" t="n"/>
    </row>
    <row r="38" ht="19.15" customHeight="1" s="294">
      <c r="A38" s="156" t="n">
        <v>30</v>
      </c>
      <c r="B38" s="157" t="n"/>
      <c r="C38" s="157" t="n"/>
      <c r="D38" s="158" t="n"/>
      <c r="E38" s="156">
        <f>AVERAGE(I38:AN38)</f>
        <v/>
      </c>
      <c r="F38" s="157">
        <f>STDEV(I38:AN38)</f>
        <v/>
      </c>
      <c r="G38" s="334">
        <f>(D38-B38)/(6*F38)</f>
        <v/>
      </c>
      <c r="H38" s="335">
        <f>MIN(((D38-E38)/(3*F38)),((E38-B38)/(3*F38)))</f>
        <v/>
      </c>
      <c r="I38" s="161" t="n"/>
      <c r="J38" s="157" t="n"/>
      <c r="K38" s="157" t="n"/>
      <c r="L38" s="157" t="n"/>
      <c r="M38" s="157" t="n"/>
      <c r="N38" s="157" t="n"/>
      <c r="O38" s="157" t="n"/>
      <c r="P38" s="157" t="n"/>
      <c r="Q38" s="157" t="n"/>
      <c r="R38" s="157" t="n"/>
      <c r="S38" s="157" t="n"/>
      <c r="T38" s="157" t="n"/>
      <c r="U38" s="157" t="n"/>
      <c r="V38" s="157" t="n"/>
      <c r="W38" s="157" t="n"/>
      <c r="X38" s="157" t="n"/>
      <c r="Y38" s="157" t="n"/>
      <c r="Z38" s="157" t="n"/>
      <c r="AA38" s="157" t="n"/>
      <c r="AB38" s="157" t="n"/>
      <c r="AC38" s="157" t="n"/>
      <c r="AD38" s="157" t="n"/>
      <c r="AE38" s="157" t="n"/>
      <c r="AF38" s="157" t="n"/>
      <c r="AG38" s="157" t="n"/>
      <c r="AH38" s="157" t="n"/>
      <c r="AI38" s="157" t="n"/>
      <c r="AJ38" s="157" t="n"/>
      <c r="AK38" s="157" t="n"/>
      <c r="AL38" s="157" t="n"/>
      <c r="AM38" s="157" t="n"/>
      <c r="AN38" s="162" t="n"/>
      <c r="AO38" s="161" t="n"/>
      <c r="AP38" s="163" t="n"/>
    </row>
    <row r="39" ht="38.45" customHeight="1" s="294">
      <c r="A39" s="164" t="inlineStr">
        <is>
          <t>仪器代号 : C-卷尺,D2-电容测量仪,E-游标卡尺,E1-导电率测定仪,F-中心距卡尺,G-塞规,H-环规,I-牙规,L-高度计,O-硬度计, P-粗度计,P1-扛杆量表,Q-推拉力计,S3-三次元,T-千分尺,T2-弹簧测试仪,V-扣合力仪,W-投影仪,WY-万用表,Z-直尺,M-其它</t>
        </is>
      </c>
      <c r="B39" s="336" t="n"/>
      <c r="C39" s="336" t="n"/>
      <c r="D39" s="336" t="n"/>
      <c r="E39" s="336" t="n"/>
      <c r="F39" s="336" t="n"/>
      <c r="G39" s="336" t="n"/>
      <c r="H39" s="336" t="n"/>
      <c r="I39" s="336" t="n"/>
      <c r="J39" s="336" t="n"/>
      <c r="K39" s="336" t="n"/>
      <c r="L39" s="336" t="n"/>
      <c r="M39" s="336" t="n"/>
      <c r="N39" s="336" t="n"/>
      <c r="O39" s="336" t="n"/>
      <c r="P39" s="336" t="n"/>
      <c r="Q39" s="336" t="n"/>
      <c r="R39" s="336" t="n"/>
      <c r="S39" s="336" t="n"/>
      <c r="T39" s="336" t="n"/>
      <c r="U39" s="336" t="n"/>
      <c r="V39" s="336" t="n"/>
      <c r="W39" s="336" t="n"/>
      <c r="X39" s="336" t="n"/>
      <c r="Y39" s="336" t="n"/>
      <c r="Z39" s="336" t="n"/>
      <c r="AA39" s="336" t="n"/>
      <c r="AB39" s="336" t="n"/>
      <c r="AC39" s="336" t="n"/>
      <c r="AD39" s="336" t="n"/>
      <c r="AE39" s="336" t="n"/>
      <c r="AF39" s="336" t="n"/>
      <c r="AG39" s="336" t="n"/>
      <c r="AH39" s="336" t="n"/>
      <c r="AI39" s="336" t="n"/>
      <c r="AJ39" s="336" t="n"/>
      <c r="AK39" s="336" t="n"/>
      <c r="AL39" s="336" t="n"/>
      <c r="AM39" s="336" t="n"/>
      <c r="AN39" s="336" t="n"/>
      <c r="AO39" s="336" t="n"/>
      <c r="AP39" s="337" t="n"/>
      <c r="AQ39" s="166" t="n"/>
      <c r="AR39" s="166" t="n"/>
      <c r="AS39" s="166" t="n"/>
      <c r="AT39" s="166"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c r="BS39" s="166" t="n"/>
      <c r="BT39" s="166" t="n"/>
      <c r="BU39" s="166" t="n"/>
      <c r="BV39" s="166" t="n"/>
      <c r="BW39" s="166" t="n"/>
      <c r="BX39" s="166" t="n"/>
      <c r="BY39" s="166" t="n"/>
      <c r="BZ39" s="166" t="n"/>
      <c r="CA39" s="166" t="n"/>
      <c r="CB39" s="166" t="n"/>
      <c r="CC39" s="166" t="n"/>
      <c r="CD39" s="166" t="n"/>
      <c r="CE39" s="166" t="n"/>
      <c r="CF39" s="166" t="n"/>
      <c r="CG39" s="166" t="n"/>
      <c r="CH39" s="166" t="n"/>
      <c r="CI39" s="166" t="n"/>
      <c r="CJ39" s="166" t="n"/>
      <c r="CK39" s="166" t="n"/>
      <c r="CL39" s="166" t="n"/>
      <c r="CM39" s="166" t="n"/>
      <c r="CN39" s="166" t="n"/>
      <c r="CO39" s="166" t="n"/>
      <c r="CP39" s="166" t="n"/>
      <c r="CQ39" s="166" t="n"/>
      <c r="CR39" s="166" t="n"/>
      <c r="CS39" s="166" t="n"/>
      <c r="CT39" s="166" t="n"/>
      <c r="CU39" s="166" t="n"/>
      <c r="CV39" s="166" t="n"/>
      <c r="CW39" s="166" t="n"/>
      <c r="CX39" s="166" t="n"/>
      <c r="CY39" s="166" t="n"/>
      <c r="CZ39" s="166" t="n"/>
      <c r="DA39" s="166" t="n"/>
      <c r="DB39" s="166" t="n"/>
      <c r="DC39" s="166" t="n"/>
      <c r="DD39" s="166" t="n"/>
      <c r="DE39" s="166" t="n"/>
      <c r="DF39" s="166" t="n"/>
      <c r="DG39" s="166" t="n"/>
      <c r="DH39" s="166" t="n"/>
      <c r="DI39" s="166" t="n"/>
      <c r="DJ39" s="166" t="n"/>
      <c r="DK39" s="166" t="n"/>
      <c r="DL39" s="166" t="n"/>
      <c r="DM39" s="166" t="n"/>
      <c r="DN39" s="166" t="n"/>
      <c r="DO39" s="166" t="n"/>
      <c r="DP39" s="166" t="n"/>
      <c r="DQ39" s="166" t="n"/>
      <c r="DR39" s="166" t="n"/>
      <c r="DS39" s="166" t="n"/>
      <c r="DT39" s="166" t="n"/>
      <c r="DU39" s="166" t="n"/>
      <c r="DV39" s="166" t="n"/>
      <c r="DW39" s="166" t="n"/>
      <c r="DX39" s="166" t="n"/>
      <c r="DY39" s="166" t="n"/>
      <c r="DZ39" s="166" t="n"/>
      <c r="EA39" s="166" t="n"/>
      <c r="EB39" s="166" t="n"/>
      <c r="EC39" s="166" t="n"/>
      <c r="ED39" s="166" t="n"/>
      <c r="EE39" s="166" t="n"/>
      <c r="EF39" s="166" t="n"/>
      <c r="EG39" s="166" t="n"/>
      <c r="EH39" s="166" t="n"/>
      <c r="EI39" s="166" t="n"/>
      <c r="EJ39" s="166" t="n"/>
      <c r="EK39" s="166" t="n"/>
      <c r="EL39" s="166"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c r="FK39" s="166" t="n"/>
      <c r="FL39" s="166" t="n"/>
      <c r="FM39" s="166" t="n"/>
      <c r="FN39" s="166" t="n"/>
      <c r="FO39" s="166" t="n"/>
      <c r="FP39" s="166" t="n"/>
      <c r="FQ39" s="166" t="n"/>
      <c r="FR39" s="166" t="n"/>
      <c r="FS39" s="166" t="n"/>
      <c r="FT39" s="166" t="n"/>
      <c r="FU39" s="166" t="n"/>
      <c r="FV39" s="166" t="n"/>
      <c r="FW39" s="166" t="n"/>
      <c r="FX39" s="166" t="n"/>
      <c r="FY39" s="166" t="n"/>
      <c r="FZ39" s="166" t="n"/>
      <c r="GA39" s="166" t="n"/>
      <c r="GB39" s="166" t="n"/>
      <c r="GC39" s="166" t="n"/>
      <c r="GD39" s="166" t="n"/>
      <c r="GE39" s="166" t="n"/>
      <c r="GF39" s="166" t="n"/>
      <c r="GG39" s="166" t="n"/>
      <c r="GH39" s="166" t="n"/>
      <c r="GI39" s="166" t="n"/>
      <c r="GJ39" s="166" t="n"/>
      <c r="GK39" s="166" t="n"/>
      <c r="GL39" s="166" t="n"/>
      <c r="GM39" s="166" t="n"/>
      <c r="GN39" s="166" t="n"/>
      <c r="GO39" s="166" t="n"/>
      <c r="GP39" s="166" t="n"/>
      <c r="GQ39" s="166" t="n"/>
      <c r="GR39" s="166" t="n"/>
      <c r="GS39" s="166" t="n"/>
      <c r="GT39" s="166" t="n"/>
      <c r="GU39" s="166" t="n"/>
      <c r="GV39" s="166" t="n"/>
      <c r="GW39" s="166" t="n"/>
      <c r="GX39" s="166" t="n"/>
      <c r="GY39" s="166" t="n"/>
      <c r="GZ39" s="166" t="n"/>
      <c r="HA39" s="166" t="n"/>
      <c r="HB39" s="166" t="n"/>
      <c r="HC39" s="166" t="n"/>
      <c r="HD39" s="166" t="n"/>
      <c r="HE39" s="166" t="n"/>
      <c r="HF39" s="166" t="n"/>
      <c r="HG39" s="166" t="n"/>
      <c r="HH39" s="166" t="n"/>
      <c r="HI39" s="166" t="n"/>
      <c r="HJ39" s="166" t="n"/>
      <c r="HK39" s="166" t="n"/>
      <c r="HL39" s="166" t="n"/>
      <c r="HM39" s="166" t="n"/>
      <c r="HN39" s="166" t="n"/>
      <c r="HO39" s="166" t="n"/>
      <c r="HP39" s="166" t="n"/>
      <c r="HQ39" s="166" t="n"/>
      <c r="HR39" s="166" t="n"/>
      <c r="HS39" s="166" t="n"/>
      <c r="HT39" s="166" t="n"/>
      <c r="HU39" s="166" t="n"/>
      <c r="HV39" s="166" t="n"/>
      <c r="HW39" s="166" t="n"/>
      <c r="HX39" s="166" t="n"/>
      <c r="HY39" s="166" t="n"/>
      <c r="HZ39" s="166" t="n"/>
      <c r="IA39" s="166" t="n"/>
      <c r="IB39" s="166" t="n"/>
      <c r="IC39" s="166" t="n"/>
      <c r="ID39" s="166" t="n"/>
      <c r="IE39" s="166" t="n"/>
      <c r="IF39" s="166" t="n"/>
      <c r="IG39" s="166" t="n"/>
      <c r="IH39" s="166" t="n"/>
      <c r="II39" s="166" t="n"/>
      <c r="IJ39" s="166" t="n"/>
      <c r="IK39" s="166" t="n"/>
      <c r="IL39" s="166" t="n"/>
      <c r="IM39" s="166" t="n"/>
      <c r="IN39" s="166" t="n"/>
      <c r="IO39" s="166" t="n"/>
      <c r="IP39" s="166" t="n"/>
      <c r="IQ39" s="166" t="n"/>
      <c r="IR39" s="166" t="n"/>
      <c r="IS39" s="166" t="n"/>
      <c r="IT39" s="166" t="n"/>
      <c r="IU39" s="166" t="n"/>
      <c r="IV39" s="166" t="n"/>
      <c r="IW39" s="166" t="n"/>
      <c r="IX39" s="166" t="n"/>
      <c r="IY39" s="166" t="n"/>
      <c r="IZ39" s="166" t="n"/>
      <c r="JA39" s="166" t="n"/>
      <c r="JB39" s="166" t="n"/>
      <c r="JC39" s="166" t="n"/>
      <c r="JD39" s="166" t="n"/>
      <c r="JE39" s="166" t="n"/>
      <c r="JF39" s="166" t="n"/>
    </row>
    <row r="40" ht="19.8" customHeight="1" s="294">
      <c r="A40" s="167" t="inlineStr">
        <is>
          <t>外观检验/Inspection regulation：</t>
        </is>
      </c>
      <c r="B40" s="338" t="n"/>
      <c r="C40" s="338" t="n"/>
      <c r="D40" s="338" t="n"/>
      <c r="E40" s="338" t="n"/>
      <c r="F40" s="338" t="n"/>
      <c r="G40" s="338" t="n"/>
      <c r="H40" s="338" t="n"/>
      <c r="I40" s="338" t="n"/>
      <c r="J40" s="338" t="n"/>
      <c r="K40" s="338" t="n"/>
      <c r="L40" s="338" t="n"/>
      <c r="M40" s="338" t="n"/>
      <c r="N40" s="338" t="n"/>
      <c r="O40" s="338" t="n"/>
      <c r="P40" s="338" t="n"/>
      <c r="Q40" s="338" t="n"/>
      <c r="R40" s="338" t="n"/>
      <c r="S40" s="338" t="n"/>
      <c r="T40" s="338" t="n"/>
      <c r="U40" s="338" t="n"/>
      <c r="V40" s="338" t="n"/>
      <c r="W40" s="338" t="n"/>
      <c r="X40" s="338" t="n"/>
      <c r="Y40" s="338" t="n"/>
      <c r="Z40" s="338" t="n"/>
      <c r="AA40" s="338" t="n"/>
      <c r="AB40" s="338" t="n"/>
      <c r="AC40" s="338" t="n"/>
      <c r="AD40" s="338" t="n"/>
      <c r="AE40" s="338" t="n"/>
      <c r="AF40" s="338" t="n"/>
      <c r="AG40" s="338" t="n"/>
      <c r="AH40" s="338" t="n"/>
      <c r="AI40" s="338" t="n"/>
      <c r="AJ40" s="338" t="n"/>
      <c r="AK40" s="338" t="n"/>
      <c r="AL40" s="338" t="n"/>
      <c r="AM40" s="338" t="n"/>
      <c r="AN40" s="338" t="n"/>
      <c r="AO40" s="338" t="n"/>
      <c r="AP40" s="33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c r="GG40" s="169" t="n"/>
      <c r="GH40" s="169" t="n"/>
      <c r="GI40" s="169" t="n"/>
      <c r="GJ40" s="169" t="n"/>
      <c r="GK40" s="169" t="n"/>
      <c r="GL40" s="169" t="n"/>
      <c r="GM40" s="169" t="n"/>
      <c r="GN40" s="169" t="n"/>
      <c r="GO40" s="169" t="n"/>
      <c r="GP40" s="169" t="n"/>
      <c r="GQ40" s="169" t="n"/>
      <c r="GR40" s="169" t="n"/>
      <c r="GS40" s="169" t="n"/>
      <c r="GT40" s="169" t="n"/>
      <c r="GU40" s="169" t="n"/>
      <c r="GV40" s="169" t="n"/>
      <c r="GW40" s="169" t="n"/>
      <c r="GX40" s="169" t="n"/>
      <c r="GY40" s="169" t="n"/>
      <c r="GZ40" s="169" t="n"/>
      <c r="HA40" s="169" t="n"/>
      <c r="HB40" s="169" t="n"/>
      <c r="HC40" s="169" t="n"/>
      <c r="HD40" s="169" t="n"/>
      <c r="HE40" s="169" t="n"/>
      <c r="HF40" s="169" t="n"/>
      <c r="HG40" s="169" t="n"/>
      <c r="HH40" s="169" t="n"/>
      <c r="HI40" s="169" t="n"/>
      <c r="HJ40" s="169" t="n"/>
      <c r="HK40" s="169" t="n"/>
      <c r="HL40" s="169" t="n"/>
      <c r="HM40" s="169" t="n"/>
      <c r="HN40" s="169" t="n"/>
      <c r="HO40" s="169" t="n"/>
      <c r="HP40" s="169" t="n"/>
      <c r="HQ40" s="169" t="n"/>
      <c r="HR40" s="169" t="n"/>
      <c r="HS40" s="169" t="n"/>
      <c r="HT40" s="169" t="n"/>
      <c r="HU40" s="169" t="n"/>
      <c r="HV40" s="169" t="n"/>
      <c r="HW40" s="169" t="n"/>
      <c r="HX40" s="169" t="n"/>
      <c r="HY40" s="169" t="n"/>
      <c r="HZ40" s="169" t="n"/>
      <c r="IA40" s="169" t="n"/>
      <c r="IB40" s="169" t="n"/>
      <c r="IC40" s="169" t="n"/>
      <c r="ID40" s="169" t="n"/>
      <c r="IE40" s="169" t="n"/>
      <c r="IF40" s="169" t="n"/>
      <c r="IG40" s="169" t="n"/>
      <c r="IH40" s="169" t="n"/>
      <c r="II40" s="169" t="n"/>
      <c r="IJ40" s="169" t="n"/>
      <c r="IK40" s="169" t="n"/>
      <c r="IL40" s="169" t="n"/>
      <c r="IM40" s="169" t="n"/>
      <c r="IN40" s="169" t="n"/>
      <c r="IO40" s="169" t="n"/>
      <c r="IP40" s="169" t="n"/>
      <c r="IQ40" s="169" t="n"/>
      <c r="IR40" s="169" t="n"/>
      <c r="IS40" s="169" t="n"/>
      <c r="IT40" s="169" t="n"/>
      <c r="IU40" s="169" t="n"/>
      <c r="IV40" s="169" t="n"/>
      <c r="IW40" s="169" t="n"/>
      <c r="IX40" s="169" t="n"/>
      <c r="IY40" s="169" t="n"/>
      <c r="IZ40" s="169" t="n"/>
      <c r="JA40" s="169" t="n"/>
      <c r="JB40" s="169" t="n"/>
      <c r="JC40" s="169" t="n"/>
      <c r="JD40" s="169" t="n"/>
      <c r="JE40" s="169" t="n"/>
      <c r="JF40" s="169" t="n"/>
    </row>
    <row r="41" ht="19.8" customHeight="1" s="294">
      <c r="A41" s="167" t="inlineStr">
        <is>
          <t>试装及功能检验 /Function test result：</t>
        </is>
      </c>
      <c r="B41" s="338" t="n"/>
      <c r="C41" s="338" t="n"/>
      <c r="D41" s="338" t="n"/>
      <c r="E41" s="338" t="n"/>
      <c r="F41" s="338" t="n"/>
      <c r="G41" s="338" t="n"/>
      <c r="H41" s="338" t="n"/>
      <c r="I41" s="338" t="n"/>
      <c r="J41" s="338" t="n"/>
      <c r="K41" s="338" t="n"/>
      <c r="L41" s="338" t="n"/>
      <c r="M41" s="338" t="n"/>
      <c r="N41" s="338" t="n"/>
      <c r="O41" s="338" t="n"/>
      <c r="P41" s="338" t="n"/>
      <c r="Q41" s="338" t="n"/>
      <c r="R41" s="338" t="n"/>
      <c r="S41" s="338" t="n"/>
      <c r="T41" s="338" t="n"/>
      <c r="U41" s="338" t="n"/>
      <c r="V41" s="338" t="n"/>
      <c r="W41" s="338" t="n"/>
      <c r="X41" s="338" t="n"/>
      <c r="Y41" s="338" t="n"/>
      <c r="Z41" s="338" t="n"/>
      <c r="AA41" s="338" t="n"/>
      <c r="AB41" s="338" t="n"/>
      <c r="AC41" s="338" t="n"/>
      <c r="AD41" s="338" t="n"/>
      <c r="AE41" s="338" t="n"/>
      <c r="AF41" s="338" t="n"/>
      <c r="AG41" s="338" t="n"/>
      <c r="AH41" s="338" t="n"/>
      <c r="AI41" s="338" t="n"/>
      <c r="AJ41" s="338" t="n"/>
      <c r="AK41" s="338" t="n"/>
      <c r="AL41" s="338" t="n"/>
      <c r="AM41" s="338" t="n"/>
      <c r="AN41" s="338" t="n"/>
      <c r="AO41" s="338" t="n"/>
      <c r="AP41" s="33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c r="GG41" s="169" t="n"/>
      <c r="GH41" s="169" t="n"/>
      <c r="GI41" s="169" t="n"/>
      <c r="GJ41" s="169" t="n"/>
      <c r="GK41" s="169" t="n"/>
      <c r="GL41" s="169" t="n"/>
      <c r="GM41" s="169" t="n"/>
      <c r="GN41" s="169" t="n"/>
      <c r="GO41" s="169" t="n"/>
      <c r="GP41" s="169" t="n"/>
      <c r="GQ41" s="169" t="n"/>
      <c r="GR41" s="169" t="n"/>
      <c r="GS41" s="169" t="n"/>
      <c r="GT41" s="169" t="n"/>
      <c r="GU41" s="169" t="n"/>
      <c r="GV41" s="169" t="n"/>
      <c r="GW41" s="169" t="n"/>
      <c r="GX41" s="169" t="n"/>
      <c r="GY41" s="169" t="n"/>
      <c r="GZ41" s="169" t="n"/>
      <c r="HA41" s="169" t="n"/>
      <c r="HB41" s="169" t="n"/>
      <c r="HC41" s="169" t="n"/>
      <c r="HD41" s="169" t="n"/>
      <c r="HE41" s="169" t="n"/>
      <c r="HF41" s="169" t="n"/>
      <c r="HG41" s="169" t="n"/>
      <c r="HH41" s="169" t="n"/>
      <c r="HI41" s="169" t="n"/>
      <c r="HJ41" s="169" t="n"/>
      <c r="HK41" s="169" t="n"/>
      <c r="HL41" s="169" t="n"/>
      <c r="HM41" s="169" t="n"/>
      <c r="HN41" s="169" t="n"/>
      <c r="HO41" s="169" t="n"/>
      <c r="HP41" s="169" t="n"/>
      <c r="HQ41" s="169" t="n"/>
      <c r="HR41" s="169" t="n"/>
      <c r="HS41" s="169" t="n"/>
      <c r="HT41" s="169" t="n"/>
      <c r="HU41" s="169" t="n"/>
      <c r="HV41" s="169" t="n"/>
      <c r="HW41" s="169" t="n"/>
      <c r="HX41" s="169" t="n"/>
      <c r="HY41" s="169" t="n"/>
      <c r="HZ41" s="169" t="n"/>
      <c r="IA41" s="169" t="n"/>
      <c r="IB41" s="169" t="n"/>
      <c r="IC41" s="169" t="n"/>
      <c r="ID41" s="169" t="n"/>
      <c r="IE41" s="169" t="n"/>
      <c r="IF41" s="169" t="n"/>
      <c r="IG41" s="169" t="n"/>
      <c r="IH41" s="169" t="n"/>
      <c r="II41" s="169" t="n"/>
      <c r="IJ41" s="169" t="n"/>
      <c r="IK41" s="169" t="n"/>
      <c r="IL41" s="169" t="n"/>
      <c r="IM41" s="169" t="n"/>
      <c r="IN41" s="169" t="n"/>
      <c r="IO41" s="169" t="n"/>
      <c r="IP41" s="169" t="n"/>
      <c r="IQ41" s="169" t="n"/>
      <c r="IR41" s="169" t="n"/>
      <c r="IS41" s="169" t="n"/>
      <c r="IT41" s="169" t="n"/>
      <c r="IU41" s="169" t="n"/>
      <c r="IV41" s="169" t="n"/>
      <c r="IW41" s="169" t="n"/>
      <c r="IX41" s="169" t="n"/>
      <c r="IY41" s="169" t="n"/>
      <c r="IZ41" s="169" t="n"/>
      <c r="JA41" s="169" t="n"/>
      <c r="JB41" s="169" t="n"/>
      <c r="JC41" s="169" t="n"/>
      <c r="JD41" s="169" t="n"/>
      <c r="JE41" s="169" t="n"/>
      <c r="JF41" s="169" t="n"/>
    </row>
    <row r="42" ht="19.8" customHeight="1" s="294">
      <c r="A42" s="170" t="inlineStr">
        <is>
          <t>综合判定/Final result：</t>
        </is>
      </c>
      <c r="B42" s="340" t="n"/>
      <c r="C42" s="340" t="n"/>
      <c r="D42" s="341" t="n"/>
      <c r="E42" s="171" t="n"/>
      <c r="F42" s="170" t="inlineStr">
        <is>
          <t>允收/Accept  ------    可量产.</t>
        </is>
      </c>
      <c r="G42" s="338" t="n"/>
      <c r="H42" s="338" t="n"/>
      <c r="I42" s="338" t="n"/>
      <c r="J42" s="338" t="n"/>
      <c r="K42" s="338" t="n"/>
      <c r="L42" s="338" t="n"/>
      <c r="M42" s="338" t="n"/>
      <c r="N42" s="338" t="n"/>
      <c r="O42" s="338" t="n"/>
      <c r="P42" s="338" t="n"/>
      <c r="Q42" s="338" t="n"/>
      <c r="R42" s="338" t="n"/>
      <c r="S42" s="338" t="n"/>
      <c r="T42" s="338" t="n"/>
      <c r="U42" s="338" t="n"/>
      <c r="V42" s="338" t="n"/>
      <c r="W42" s="338" t="n"/>
      <c r="X42" s="338" t="n"/>
      <c r="Y42" s="338" t="n"/>
      <c r="Z42" s="338" t="n"/>
      <c r="AA42" s="338" t="n"/>
      <c r="AB42" s="338" t="n"/>
      <c r="AC42" s="338" t="n"/>
      <c r="AD42" s="338" t="n"/>
      <c r="AE42" s="338" t="n"/>
      <c r="AF42" s="338" t="n"/>
      <c r="AG42" s="338" t="n"/>
      <c r="AH42" s="338" t="n"/>
      <c r="AI42" s="338" t="n"/>
      <c r="AJ42" s="338" t="n"/>
      <c r="AK42" s="338" t="n"/>
      <c r="AL42" s="338" t="n"/>
      <c r="AM42" s="338" t="n"/>
      <c r="AN42" s="338" t="n"/>
      <c r="AO42" s="338" t="n"/>
      <c r="AP42" s="339" t="n"/>
      <c r="AQ42" s="173" t="n"/>
      <c r="AR42" s="169" t="n"/>
      <c r="AS42" s="169" t="n"/>
      <c r="AT42" s="174" t="n"/>
      <c r="AU42" s="173" t="n"/>
      <c r="AV42" s="173" t="n"/>
      <c r="AW42" s="173" t="n"/>
      <c r="AX42" s="173" t="n"/>
      <c r="AY42" s="173" t="n"/>
      <c r="AZ42" s="173" t="n"/>
      <c r="BA42" s="173" t="n"/>
      <c r="BB42" s="173" t="n"/>
      <c r="BC42" s="173" t="n"/>
      <c r="BD42" s="173" t="n"/>
      <c r="BE42" s="173" t="n"/>
      <c r="BF42" s="173" t="n"/>
      <c r="BG42" s="169" t="n"/>
      <c r="BH42" s="169" t="n"/>
      <c r="BI42" s="169" t="n"/>
      <c r="BJ42" s="174" t="n"/>
      <c r="BK42" s="173" t="n"/>
      <c r="BL42" s="173" t="n"/>
      <c r="BM42" s="173" t="n"/>
      <c r="BN42" s="173" t="n"/>
      <c r="BO42" s="173" t="n"/>
      <c r="BP42" s="173" t="n"/>
      <c r="BQ42" s="173" t="n"/>
      <c r="BR42" s="173" t="n"/>
      <c r="BS42" s="173" t="n"/>
      <c r="BT42" s="173" t="n"/>
      <c r="BU42" s="173" t="n"/>
      <c r="BV42" s="173" t="n"/>
      <c r="BW42" s="169" t="n"/>
      <c r="BX42" s="169" t="n"/>
      <c r="BY42" s="169" t="n"/>
      <c r="BZ42" s="174" t="n"/>
      <c r="CA42" s="173" t="n"/>
      <c r="CB42" s="173" t="n"/>
      <c r="CC42" s="173" t="n"/>
      <c r="CD42" s="173" t="n"/>
      <c r="CE42" s="173" t="n"/>
      <c r="CF42" s="173" t="n"/>
      <c r="CG42" s="173" t="n"/>
      <c r="CH42" s="173" t="n"/>
      <c r="CI42" s="173" t="n"/>
      <c r="CJ42" s="173" t="n"/>
      <c r="CK42" s="173" t="n"/>
      <c r="CL42" s="173" t="n"/>
      <c r="CM42" s="169" t="n"/>
      <c r="CN42" s="169" t="n"/>
      <c r="CO42" s="169" t="n"/>
      <c r="CP42" s="174" t="n"/>
      <c r="CQ42" s="173" t="n"/>
      <c r="CR42" s="173" t="n"/>
      <c r="CS42" s="173" t="n"/>
      <c r="CT42" s="173" t="n"/>
      <c r="CU42" s="173" t="n"/>
      <c r="CV42" s="173" t="n"/>
      <c r="CW42" s="173" t="n"/>
      <c r="CX42" s="173" t="n"/>
      <c r="CY42" s="173" t="n"/>
      <c r="CZ42" s="173" t="n"/>
      <c r="DA42" s="173" t="n"/>
      <c r="DB42" s="173" t="n"/>
      <c r="DC42" s="169" t="n"/>
      <c r="DD42" s="169" t="n"/>
      <c r="DE42" s="169" t="n"/>
      <c r="DF42" s="174" t="n"/>
      <c r="DG42" s="173" t="n"/>
      <c r="DH42" s="173" t="n"/>
      <c r="DI42" s="173" t="n"/>
      <c r="DJ42" s="173" t="n"/>
      <c r="DK42" s="173" t="n"/>
      <c r="DL42" s="173" t="n"/>
      <c r="DM42" s="173" t="n"/>
      <c r="DN42" s="173" t="n"/>
      <c r="DO42" s="173" t="n"/>
      <c r="DP42" s="173" t="n"/>
      <c r="DQ42" s="173" t="n"/>
      <c r="DR42" s="173" t="n"/>
      <c r="DS42" s="169" t="n"/>
      <c r="DT42" s="169" t="n"/>
      <c r="DU42" s="169" t="n"/>
      <c r="DV42" s="174" t="n"/>
      <c r="DW42" s="173" t="n"/>
      <c r="DX42" s="173" t="n"/>
      <c r="DY42" s="173" t="n"/>
      <c r="DZ42" s="173" t="n"/>
      <c r="EA42" s="173" t="n"/>
      <c r="EB42" s="173" t="n"/>
      <c r="EC42" s="173" t="n"/>
      <c r="ED42" s="173" t="n"/>
      <c r="EE42" s="173" t="n"/>
      <c r="EF42" s="173" t="n"/>
      <c r="EG42" s="173" t="n"/>
      <c r="EH42" s="173" t="n"/>
      <c r="EI42" s="169" t="n"/>
      <c r="EJ42" s="169" t="n"/>
      <c r="EK42" s="169" t="n"/>
      <c r="EL42" s="174" t="n"/>
      <c r="EM42" s="173" t="n"/>
      <c r="EN42" s="173" t="n"/>
      <c r="EO42" s="173" t="n"/>
      <c r="EP42" s="173" t="n"/>
      <c r="EQ42" s="173" t="n"/>
      <c r="ER42" s="173" t="n"/>
      <c r="ES42" s="173" t="n"/>
      <c r="ET42" s="173" t="n"/>
      <c r="EU42" s="173" t="n"/>
      <c r="EV42" s="173" t="n"/>
      <c r="EW42" s="173" t="n"/>
      <c r="EX42" s="173" t="n"/>
      <c r="EY42" s="169" t="n"/>
      <c r="EZ42" s="169" t="n"/>
      <c r="FA42" s="169" t="n"/>
      <c r="FB42" s="174" t="n"/>
      <c r="FC42" s="173" t="n"/>
      <c r="FD42" s="173" t="n"/>
      <c r="FE42" s="173" t="n"/>
      <c r="FF42" s="173" t="n"/>
      <c r="FG42" s="173" t="n"/>
      <c r="FH42" s="173" t="n"/>
      <c r="FI42" s="173" t="n"/>
      <c r="FJ42" s="173" t="n"/>
      <c r="FK42" s="173" t="n"/>
      <c r="FL42" s="173" t="n"/>
      <c r="FM42" s="173" t="n"/>
      <c r="FN42" s="173" t="n"/>
      <c r="FO42" s="169" t="n"/>
      <c r="FP42" s="169" t="n"/>
      <c r="FQ42" s="169" t="n"/>
      <c r="FR42" s="174" t="n"/>
      <c r="FS42" s="173" t="n"/>
      <c r="FT42" s="173" t="n"/>
      <c r="FU42" s="173" t="n"/>
      <c r="FV42" s="173" t="n"/>
      <c r="FW42" s="173" t="n"/>
      <c r="FX42" s="173" t="n"/>
      <c r="FY42" s="173" t="n"/>
      <c r="FZ42" s="173" t="n"/>
      <c r="GA42" s="173" t="n"/>
      <c r="GB42" s="173" t="n"/>
      <c r="GC42" s="173" t="n"/>
      <c r="GD42" s="173" t="n"/>
      <c r="GE42" s="169" t="n"/>
      <c r="GF42" s="169" t="n"/>
      <c r="GG42" s="169" t="n"/>
      <c r="GH42" s="174" t="n"/>
      <c r="GI42" s="173" t="n"/>
      <c r="GJ42" s="173" t="n"/>
      <c r="GK42" s="173" t="n"/>
      <c r="GL42" s="173" t="n"/>
      <c r="GM42" s="173" t="n"/>
      <c r="GN42" s="173" t="n"/>
      <c r="GO42" s="173" t="n"/>
      <c r="GP42" s="173" t="n"/>
      <c r="GQ42" s="173" t="n"/>
      <c r="GR42" s="173" t="n"/>
      <c r="GS42" s="173" t="n"/>
      <c r="GT42" s="173" t="n"/>
      <c r="GU42" s="169" t="n"/>
      <c r="GV42" s="169" t="n"/>
      <c r="GW42" s="169" t="n"/>
      <c r="GX42" s="174" t="n"/>
      <c r="GY42" s="173" t="n"/>
      <c r="GZ42" s="173" t="n"/>
      <c r="HA42" s="173" t="n"/>
      <c r="HB42" s="173" t="n"/>
      <c r="HC42" s="173" t="n"/>
      <c r="HD42" s="173" t="n"/>
      <c r="HE42" s="173" t="n"/>
      <c r="HF42" s="173" t="n"/>
      <c r="HG42" s="173" t="n"/>
      <c r="HH42" s="173" t="n"/>
      <c r="HI42" s="173" t="n"/>
      <c r="HJ42" s="173" t="n"/>
      <c r="HK42" s="169" t="n"/>
      <c r="HL42" s="169" t="n"/>
      <c r="HM42" s="169" t="n"/>
      <c r="HN42" s="174" t="n"/>
      <c r="HO42" s="173" t="n"/>
      <c r="HP42" s="173" t="n"/>
      <c r="HQ42" s="173" t="n"/>
      <c r="HR42" s="173" t="n"/>
      <c r="HS42" s="173" t="n"/>
      <c r="HT42" s="173" t="n"/>
      <c r="HU42" s="173" t="n"/>
      <c r="HV42" s="173" t="n"/>
      <c r="HW42" s="173" t="n"/>
      <c r="HX42" s="173" t="n"/>
      <c r="HY42" s="173" t="n"/>
      <c r="HZ42" s="173" t="n"/>
      <c r="IA42" s="169" t="n"/>
      <c r="IB42" s="169" t="n"/>
      <c r="IC42" s="169" t="n"/>
      <c r="ID42" s="174" t="n"/>
      <c r="IE42" s="173" t="n"/>
      <c r="IF42" s="173" t="n"/>
      <c r="IG42" s="173" t="n"/>
      <c r="IH42" s="173" t="n"/>
      <c r="II42" s="173" t="n"/>
      <c r="IJ42" s="173" t="n"/>
      <c r="IK42" s="173" t="n"/>
      <c r="IL42" s="173" t="n"/>
      <c r="IM42" s="173" t="n"/>
      <c r="IN42" s="173" t="n"/>
      <c r="IO42" s="173" t="n"/>
      <c r="IP42" s="173" t="n"/>
      <c r="IQ42" s="169" t="n"/>
      <c r="IR42" s="169" t="n"/>
      <c r="IS42" s="169" t="n"/>
      <c r="IT42" s="174" t="n"/>
      <c r="IU42" s="173" t="n"/>
      <c r="IV42" s="173" t="n"/>
      <c r="IW42" s="173" t="n"/>
      <c r="IX42" s="173" t="n"/>
      <c r="IY42" s="173" t="n"/>
      <c r="IZ42" s="173" t="n"/>
      <c r="JA42" s="173" t="n"/>
      <c r="JB42" s="173" t="n"/>
      <c r="JC42" s="173" t="n"/>
      <c r="JD42" s="173" t="n"/>
      <c r="JE42" s="173" t="n"/>
      <c r="JF42" s="173" t="n"/>
    </row>
    <row r="43" ht="19.8" customHeight="1" s="294">
      <c r="A43" s="342" t="n"/>
      <c r="B43" s="336" t="n"/>
      <c r="C43" s="336" t="n"/>
      <c r="D43" s="337" t="n"/>
      <c r="E43" s="171" t="n"/>
      <c r="F43" s="170" t="inlineStr">
        <is>
          <t>拒收 /Reject ----- 将上述不良处修正后，再送样品供检验，重新承认.</t>
        </is>
      </c>
      <c r="G43" s="338" t="n"/>
      <c r="H43" s="338" t="n"/>
      <c r="I43" s="338" t="n"/>
      <c r="J43" s="338" t="n"/>
      <c r="K43" s="338" t="n"/>
      <c r="L43" s="338" t="n"/>
      <c r="M43" s="338" t="n"/>
      <c r="N43" s="338" t="n"/>
      <c r="O43" s="338" t="n"/>
      <c r="P43" s="338" t="n"/>
      <c r="Q43" s="338" t="n"/>
      <c r="R43" s="338" t="n"/>
      <c r="S43" s="338" t="n"/>
      <c r="T43" s="338" t="n"/>
      <c r="U43" s="338" t="n"/>
      <c r="V43" s="338" t="n"/>
      <c r="W43" s="338" t="n"/>
      <c r="X43" s="338" t="n"/>
      <c r="Y43" s="338" t="n"/>
      <c r="Z43" s="338" t="n"/>
      <c r="AA43" s="338" t="n"/>
      <c r="AB43" s="338" t="n"/>
      <c r="AC43" s="338" t="n"/>
      <c r="AD43" s="338" t="n"/>
      <c r="AE43" s="338" t="n"/>
      <c r="AF43" s="338" t="n"/>
      <c r="AG43" s="338" t="n"/>
      <c r="AH43" s="338" t="n"/>
      <c r="AI43" s="338" t="n"/>
      <c r="AJ43" s="338" t="n"/>
      <c r="AK43" s="338" t="n"/>
      <c r="AL43" s="338" t="n"/>
      <c r="AM43" s="338" t="n"/>
      <c r="AN43" s="338" t="n"/>
      <c r="AO43" s="338" t="n"/>
      <c r="AP43" s="339" t="n"/>
      <c r="AQ43" s="173" t="n"/>
      <c r="AR43" s="169" t="n"/>
      <c r="AS43" s="169" t="n"/>
      <c r="AT43" s="174" t="n"/>
      <c r="AU43" s="173" t="n"/>
      <c r="AV43" s="173" t="n"/>
      <c r="AW43" s="173" t="n"/>
      <c r="AX43" s="173" t="n"/>
      <c r="AY43" s="173" t="n"/>
      <c r="AZ43" s="173" t="n"/>
      <c r="BA43" s="173" t="n"/>
      <c r="BB43" s="173" t="n"/>
      <c r="BC43" s="173" t="n"/>
      <c r="BD43" s="173" t="n"/>
      <c r="BE43" s="173" t="n"/>
      <c r="BF43" s="173" t="n"/>
      <c r="BG43" s="169" t="n"/>
      <c r="BH43" s="169" t="n"/>
      <c r="BI43" s="169" t="n"/>
      <c r="BJ43" s="174" t="n"/>
      <c r="BK43" s="173" t="n"/>
      <c r="BL43" s="173" t="n"/>
      <c r="BM43" s="173" t="n"/>
      <c r="BN43" s="173" t="n"/>
      <c r="BO43" s="173" t="n"/>
      <c r="BP43" s="173" t="n"/>
      <c r="BQ43" s="173" t="n"/>
      <c r="BR43" s="173" t="n"/>
      <c r="BS43" s="173" t="n"/>
      <c r="BT43" s="173" t="n"/>
      <c r="BU43" s="173" t="n"/>
      <c r="BV43" s="173" t="n"/>
      <c r="BW43" s="169" t="n"/>
      <c r="BX43" s="169" t="n"/>
      <c r="BY43" s="169" t="n"/>
      <c r="BZ43" s="174" t="n"/>
      <c r="CA43" s="173" t="n"/>
      <c r="CB43" s="173" t="n"/>
      <c r="CC43" s="173" t="n"/>
      <c r="CD43" s="173" t="n"/>
      <c r="CE43" s="173" t="n"/>
      <c r="CF43" s="173" t="n"/>
      <c r="CG43" s="173" t="n"/>
      <c r="CH43" s="173" t="n"/>
      <c r="CI43" s="173" t="n"/>
      <c r="CJ43" s="173" t="n"/>
      <c r="CK43" s="173" t="n"/>
      <c r="CL43" s="173" t="n"/>
      <c r="CM43" s="169" t="n"/>
      <c r="CN43" s="169" t="n"/>
      <c r="CO43" s="169" t="n"/>
      <c r="CP43" s="174" t="n"/>
      <c r="CQ43" s="173" t="n"/>
      <c r="CR43" s="173" t="n"/>
      <c r="CS43" s="173" t="n"/>
      <c r="CT43" s="173" t="n"/>
      <c r="CU43" s="173" t="n"/>
      <c r="CV43" s="173" t="n"/>
      <c r="CW43" s="173" t="n"/>
      <c r="CX43" s="173" t="n"/>
      <c r="CY43" s="173" t="n"/>
      <c r="CZ43" s="173" t="n"/>
      <c r="DA43" s="173" t="n"/>
      <c r="DB43" s="173" t="n"/>
      <c r="DC43" s="169" t="n"/>
      <c r="DD43" s="169" t="n"/>
      <c r="DE43" s="169" t="n"/>
      <c r="DF43" s="174" t="n"/>
      <c r="DG43" s="173" t="n"/>
      <c r="DH43" s="173" t="n"/>
      <c r="DI43" s="173" t="n"/>
      <c r="DJ43" s="173" t="n"/>
      <c r="DK43" s="173" t="n"/>
      <c r="DL43" s="173" t="n"/>
      <c r="DM43" s="173" t="n"/>
      <c r="DN43" s="173" t="n"/>
      <c r="DO43" s="173" t="n"/>
      <c r="DP43" s="173" t="n"/>
      <c r="DQ43" s="173" t="n"/>
      <c r="DR43" s="173" t="n"/>
      <c r="DS43" s="169" t="n"/>
      <c r="DT43" s="169" t="n"/>
      <c r="DU43" s="169" t="n"/>
      <c r="DV43" s="174" t="n"/>
      <c r="DW43" s="173" t="n"/>
      <c r="DX43" s="173" t="n"/>
      <c r="DY43" s="173" t="n"/>
      <c r="DZ43" s="173" t="n"/>
      <c r="EA43" s="173" t="n"/>
      <c r="EB43" s="173" t="n"/>
      <c r="EC43" s="173" t="n"/>
      <c r="ED43" s="173" t="n"/>
      <c r="EE43" s="173" t="n"/>
      <c r="EF43" s="173" t="n"/>
      <c r="EG43" s="173" t="n"/>
      <c r="EH43" s="173" t="n"/>
      <c r="EI43" s="169" t="n"/>
      <c r="EJ43" s="169" t="n"/>
      <c r="EK43" s="169" t="n"/>
      <c r="EL43" s="174" t="n"/>
      <c r="EM43" s="173" t="n"/>
      <c r="EN43" s="173" t="n"/>
      <c r="EO43" s="173" t="n"/>
      <c r="EP43" s="173" t="n"/>
      <c r="EQ43" s="173" t="n"/>
      <c r="ER43" s="173" t="n"/>
      <c r="ES43" s="173" t="n"/>
      <c r="ET43" s="173" t="n"/>
      <c r="EU43" s="173" t="n"/>
      <c r="EV43" s="173" t="n"/>
      <c r="EW43" s="173" t="n"/>
      <c r="EX43" s="173" t="n"/>
      <c r="EY43" s="169" t="n"/>
      <c r="EZ43" s="169" t="n"/>
      <c r="FA43" s="169" t="n"/>
      <c r="FB43" s="174" t="n"/>
      <c r="FC43" s="173" t="n"/>
      <c r="FD43" s="173" t="n"/>
      <c r="FE43" s="173" t="n"/>
      <c r="FF43" s="173" t="n"/>
      <c r="FG43" s="173" t="n"/>
      <c r="FH43" s="173" t="n"/>
      <c r="FI43" s="173" t="n"/>
      <c r="FJ43" s="173" t="n"/>
      <c r="FK43" s="173" t="n"/>
      <c r="FL43" s="173" t="n"/>
      <c r="FM43" s="173" t="n"/>
      <c r="FN43" s="173" t="n"/>
      <c r="FO43" s="169" t="n"/>
      <c r="FP43" s="169" t="n"/>
      <c r="FQ43" s="169" t="n"/>
      <c r="FR43" s="174" t="n"/>
      <c r="FS43" s="173" t="n"/>
      <c r="FT43" s="173" t="n"/>
      <c r="FU43" s="173" t="n"/>
      <c r="FV43" s="173" t="n"/>
      <c r="FW43" s="173" t="n"/>
      <c r="FX43" s="173" t="n"/>
      <c r="FY43" s="173" t="n"/>
      <c r="FZ43" s="173" t="n"/>
      <c r="GA43" s="173" t="n"/>
      <c r="GB43" s="173" t="n"/>
      <c r="GC43" s="173" t="n"/>
      <c r="GD43" s="173" t="n"/>
      <c r="GE43" s="169" t="n"/>
      <c r="GF43" s="169" t="n"/>
      <c r="GG43" s="169" t="n"/>
      <c r="GH43" s="174" t="n"/>
      <c r="GI43" s="173" t="n"/>
      <c r="GJ43" s="173" t="n"/>
      <c r="GK43" s="173" t="n"/>
      <c r="GL43" s="173" t="n"/>
      <c r="GM43" s="173" t="n"/>
      <c r="GN43" s="173" t="n"/>
      <c r="GO43" s="173" t="n"/>
      <c r="GP43" s="173" t="n"/>
      <c r="GQ43" s="173" t="n"/>
      <c r="GR43" s="173" t="n"/>
      <c r="GS43" s="173" t="n"/>
      <c r="GT43" s="173" t="n"/>
      <c r="GU43" s="169" t="n"/>
      <c r="GV43" s="169" t="n"/>
      <c r="GW43" s="169" t="n"/>
      <c r="GX43" s="174" t="n"/>
      <c r="GY43" s="173" t="n"/>
      <c r="GZ43" s="173" t="n"/>
      <c r="HA43" s="173" t="n"/>
      <c r="HB43" s="173" t="n"/>
      <c r="HC43" s="173" t="n"/>
      <c r="HD43" s="173" t="n"/>
      <c r="HE43" s="173" t="n"/>
      <c r="HF43" s="173" t="n"/>
      <c r="HG43" s="173" t="n"/>
      <c r="HH43" s="173" t="n"/>
      <c r="HI43" s="173" t="n"/>
      <c r="HJ43" s="173" t="n"/>
      <c r="HK43" s="169" t="n"/>
      <c r="HL43" s="169" t="n"/>
      <c r="HM43" s="169" t="n"/>
      <c r="HN43" s="174" t="n"/>
      <c r="HO43" s="173" t="n"/>
      <c r="HP43" s="173" t="n"/>
      <c r="HQ43" s="173" t="n"/>
      <c r="HR43" s="173" t="n"/>
      <c r="HS43" s="173" t="n"/>
      <c r="HT43" s="173" t="n"/>
      <c r="HU43" s="173" t="n"/>
      <c r="HV43" s="173" t="n"/>
      <c r="HW43" s="173" t="n"/>
      <c r="HX43" s="173" t="n"/>
      <c r="HY43" s="173" t="n"/>
      <c r="HZ43" s="173" t="n"/>
      <c r="IA43" s="169" t="n"/>
      <c r="IB43" s="169" t="n"/>
      <c r="IC43" s="169" t="n"/>
      <c r="ID43" s="174" t="n"/>
      <c r="IE43" s="173" t="n"/>
      <c r="IF43" s="173" t="n"/>
      <c r="IG43" s="173" t="n"/>
      <c r="IH43" s="173" t="n"/>
      <c r="II43" s="173" t="n"/>
      <c r="IJ43" s="173" t="n"/>
      <c r="IK43" s="173" t="n"/>
      <c r="IL43" s="173" t="n"/>
      <c r="IM43" s="173" t="n"/>
      <c r="IN43" s="173" t="n"/>
      <c r="IO43" s="173" t="n"/>
      <c r="IP43" s="173" t="n"/>
      <c r="IQ43" s="169" t="n"/>
      <c r="IR43" s="169" t="n"/>
      <c r="IS43" s="169" t="n"/>
      <c r="IT43" s="174" t="n"/>
      <c r="IU43" s="173" t="n"/>
      <c r="IV43" s="173" t="n"/>
      <c r="IW43" s="173" t="n"/>
      <c r="IX43" s="173" t="n"/>
      <c r="IY43" s="173" t="n"/>
      <c r="IZ43" s="173" t="n"/>
      <c r="JA43" s="173" t="n"/>
      <c r="JB43" s="173" t="n"/>
      <c r="JC43" s="173" t="n"/>
      <c r="JD43" s="173" t="n"/>
      <c r="JE43" s="173" t="n"/>
      <c r="JF43" s="173" t="n"/>
    </row>
    <row r="44" ht="19.8" customHeight="1" s="294">
      <c r="A44" s="167" t="inlineStr">
        <is>
          <t>绿色产品/Green product:</t>
        </is>
      </c>
      <c r="B44" s="338" t="n"/>
      <c r="C44" s="339" t="n"/>
      <c r="D44" s="167" t="n"/>
      <c r="E44" s="171" t="n"/>
      <c r="F44" s="172" t="inlineStr">
        <is>
          <t>RoHS</t>
        </is>
      </c>
      <c r="G44" s="339" t="n"/>
      <c r="H44" s="171" t="n"/>
      <c r="I44" s="172" t="inlineStr">
        <is>
          <t>Lead Free</t>
        </is>
      </c>
      <c r="J44" s="339" t="n"/>
      <c r="K44" s="171" t="n"/>
      <c r="L44" s="172" t="inlineStr">
        <is>
          <t>非绿色产品</t>
        </is>
      </c>
      <c r="M44" s="339" t="n"/>
      <c r="N44" s="171" t="n"/>
      <c r="O44" s="170" t="inlineStr">
        <is>
          <t>其他(备注)：</t>
        </is>
      </c>
      <c r="P44" s="338" t="n"/>
      <c r="Q44" s="338" t="n"/>
      <c r="R44" s="338" t="n"/>
      <c r="S44" s="338" t="n"/>
      <c r="T44" s="338" t="n"/>
      <c r="U44" s="338" t="n"/>
      <c r="V44" s="338" t="n"/>
      <c r="W44" s="338" t="n"/>
      <c r="X44" s="338" t="n"/>
      <c r="Y44" s="338" t="n"/>
      <c r="Z44" s="338" t="n"/>
      <c r="AA44" s="338" t="n"/>
      <c r="AB44" s="338" t="n"/>
      <c r="AC44" s="338" t="n"/>
      <c r="AD44" s="338" t="n"/>
      <c r="AE44" s="338" t="n"/>
      <c r="AF44" s="338" t="n"/>
      <c r="AG44" s="338" t="n"/>
      <c r="AH44" s="338" t="n"/>
      <c r="AI44" s="338" t="n"/>
      <c r="AJ44" s="338" t="n"/>
      <c r="AK44" s="338" t="n"/>
      <c r="AL44" s="338" t="n"/>
      <c r="AM44" s="338" t="n"/>
      <c r="AN44" s="338" t="n"/>
      <c r="AO44" s="338" t="n"/>
      <c r="AP44" s="339" t="n"/>
      <c r="AQ44" s="173" t="n"/>
      <c r="AR44" s="169" t="n"/>
      <c r="AS44" s="169" t="n"/>
      <c r="AT44" s="174" t="n"/>
      <c r="AU44" s="173" t="n"/>
      <c r="AV44" s="173" t="n"/>
      <c r="AW44" s="173" t="n"/>
      <c r="AX44" s="173" t="n"/>
      <c r="AY44" s="173" t="n"/>
      <c r="AZ44" s="173" t="n"/>
      <c r="BA44" s="173" t="n"/>
      <c r="BB44" s="173" t="n"/>
      <c r="BC44" s="173" t="n"/>
      <c r="BD44" s="173" t="n"/>
      <c r="BE44" s="173" t="n"/>
      <c r="BF44" s="173" t="n"/>
      <c r="BG44" s="169" t="n"/>
      <c r="BH44" s="169" t="n"/>
      <c r="BI44" s="169" t="n"/>
      <c r="BJ44" s="174" t="n"/>
      <c r="BK44" s="173" t="n"/>
      <c r="BL44" s="173" t="n"/>
      <c r="BM44" s="173" t="n"/>
      <c r="BN44" s="173" t="n"/>
      <c r="BO44" s="173" t="n"/>
      <c r="BP44" s="173" t="n"/>
      <c r="BQ44" s="173" t="n"/>
      <c r="BR44" s="173" t="n"/>
      <c r="BS44" s="173" t="n"/>
      <c r="BT44" s="173" t="n"/>
      <c r="BU44" s="173" t="n"/>
      <c r="BV44" s="173" t="n"/>
      <c r="BW44" s="169" t="n"/>
      <c r="BX44" s="169" t="n"/>
      <c r="BY44" s="169" t="n"/>
      <c r="BZ44" s="174" t="n"/>
      <c r="CA44" s="173" t="n"/>
      <c r="CB44" s="173" t="n"/>
      <c r="CC44" s="173" t="n"/>
      <c r="CD44" s="173" t="n"/>
      <c r="CE44" s="173" t="n"/>
      <c r="CF44" s="173" t="n"/>
      <c r="CG44" s="173" t="n"/>
      <c r="CH44" s="173" t="n"/>
      <c r="CI44" s="173" t="n"/>
      <c r="CJ44" s="173" t="n"/>
      <c r="CK44" s="173" t="n"/>
      <c r="CL44" s="173" t="n"/>
      <c r="CM44" s="169" t="n"/>
      <c r="CN44" s="169" t="n"/>
      <c r="CO44" s="169" t="n"/>
      <c r="CP44" s="174" t="n"/>
      <c r="CQ44" s="173" t="n"/>
      <c r="CR44" s="173" t="n"/>
      <c r="CS44" s="173" t="n"/>
      <c r="CT44" s="173" t="n"/>
      <c r="CU44" s="173" t="n"/>
      <c r="CV44" s="173" t="n"/>
      <c r="CW44" s="173" t="n"/>
      <c r="CX44" s="173" t="n"/>
      <c r="CY44" s="173" t="n"/>
      <c r="CZ44" s="173" t="n"/>
      <c r="DA44" s="173" t="n"/>
      <c r="DB44" s="173" t="n"/>
      <c r="DC44" s="169" t="n"/>
      <c r="DD44" s="169" t="n"/>
      <c r="DE44" s="169" t="n"/>
      <c r="DF44" s="174" t="n"/>
      <c r="DG44" s="173" t="n"/>
      <c r="DH44" s="173" t="n"/>
      <c r="DI44" s="173" t="n"/>
      <c r="DJ44" s="173" t="n"/>
      <c r="DK44" s="173" t="n"/>
      <c r="DL44" s="173" t="n"/>
      <c r="DM44" s="173" t="n"/>
      <c r="DN44" s="173" t="n"/>
      <c r="DO44" s="173" t="n"/>
      <c r="DP44" s="173" t="n"/>
      <c r="DQ44" s="173" t="n"/>
      <c r="DR44" s="173" t="n"/>
      <c r="DS44" s="169" t="n"/>
      <c r="DT44" s="169" t="n"/>
      <c r="DU44" s="169" t="n"/>
      <c r="DV44" s="174" t="n"/>
      <c r="DW44" s="173" t="n"/>
      <c r="DX44" s="173" t="n"/>
      <c r="DY44" s="173" t="n"/>
      <c r="DZ44" s="173" t="n"/>
      <c r="EA44" s="173" t="n"/>
      <c r="EB44" s="173" t="n"/>
      <c r="EC44" s="173" t="n"/>
      <c r="ED44" s="173" t="n"/>
      <c r="EE44" s="173" t="n"/>
      <c r="EF44" s="173" t="n"/>
      <c r="EG44" s="173" t="n"/>
      <c r="EH44" s="173" t="n"/>
      <c r="EI44" s="169" t="n"/>
      <c r="EJ44" s="169" t="n"/>
      <c r="EK44" s="169" t="n"/>
      <c r="EL44" s="174" t="n"/>
      <c r="EM44" s="173" t="n"/>
      <c r="EN44" s="173" t="n"/>
      <c r="EO44" s="173" t="n"/>
      <c r="EP44" s="173" t="n"/>
      <c r="EQ44" s="173" t="n"/>
      <c r="ER44" s="173" t="n"/>
      <c r="ES44" s="173" t="n"/>
      <c r="ET44" s="173" t="n"/>
      <c r="EU44" s="173" t="n"/>
      <c r="EV44" s="173" t="n"/>
      <c r="EW44" s="173" t="n"/>
      <c r="EX44" s="173" t="n"/>
      <c r="EY44" s="169" t="n"/>
      <c r="EZ44" s="169" t="n"/>
      <c r="FA44" s="169" t="n"/>
      <c r="FB44" s="174" t="n"/>
      <c r="FC44" s="173" t="n"/>
      <c r="FD44" s="173" t="n"/>
      <c r="FE44" s="173" t="n"/>
      <c r="FF44" s="173" t="n"/>
      <c r="FG44" s="173" t="n"/>
      <c r="FH44" s="173" t="n"/>
      <c r="FI44" s="173" t="n"/>
      <c r="FJ44" s="173" t="n"/>
      <c r="FK44" s="173" t="n"/>
      <c r="FL44" s="173" t="n"/>
      <c r="FM44" s="173" t="n"/>
      <c r="FN44" s="173" t="n"/>
      <c r="FO44" s="169" t="n"/>
      <c r="FP44" s="169" t="n"/>
      <c r="FQ44" s="169" t="n"/>
      <c r="FR44" s="174" t="n"/>
      <c r="FS44" s="173" t="n"/>
      <c r="FT44" s="173" t="n"/>
      <c r="FU44" s="173" t="n"/>
      <c r="FV44" s="173" t="n"/>
      <c r="FW44" s="173" t="n"/>
      <c r="FX44" s="173" t="n"/>
      <c r="FY44" s="173" t="n"/>
      <c r="FZ44" s="173" t="n"/>
      <c r="GA44" s="173" t="n"/>
      <c r="GB44" s="173" t="n"/>
      <c r="GC44" s="173" t="n"/>
      <c r="GD44" s="173" t="n"/>
      <c r="GE44" s="169" t="n"/>
      <c r="GF44" s="169" t="n"/>
      <c r="GG44" s="169" t="n"/>
      <c r="GH44" s="174" t="n"/>
      <c r="GI44" s="173" t="n"/>
      <c r="GJ44" s="173" t="n"/>
      <c r="GK44" s="173" t="n"/>
      <c r="GL44" s="173" t="n"/>
      <c r="GM44" s="173" t="n"/>
      <c r="GN44" s="173" t="n"/>
      <c r="GO44" s="173" t="n"/>
      <c r="GP44" s="173" t="n"/>
      <c r="GQ44" s="173" t="n"/>
      <c r="GR44" s="173" t="n"/>
      <c r="GS44" s="173" t="n"/>
      <c r="GT44" s="173" t="n"/>
      <c r="GU44" s="169" t="n"/>
      <c r="GV44" s="169" t="n"/>
      <c r="GW44" s="169" t="n"/>
      <c r="GX44" s="174" t="n"/>
      <c r="GY44" s="173" t="n"/>
      <c r="GZ44" s="173" t="n"/>
      <c r="HA44" s="173" t="n"/>
      <c r="HB44" s="173" t="n"/>
      <c r="HC44" s="173" t="n"/>
      <c r="HD44" s="173" t="n"/>
      <c r="HE44" s="173" t="n"/>
      <c r="HF44" s="173" t="n"/>
      <c r="HG44" s="173" t="n"/>
      <c r="HH44" s="173" t="n"/>
      <c r="HI44" s="173" t="n"/>
      <c r="HJ44" s="173" t="n"/>
      <c r="HK44" s="169" t="n"/>
      <c r="HL44" s="169" t="n"/>
      <c r="HM44" s="169" t="n"/>
      <c r="HN44" s="174" t="n"/>
      <c r="HO44" s="173" t="n"/>
      <c r="HP44" s="173" t="n"/>
      <c r="HQ44" s="173" t="n"/>
      <c r="HR44" s="173" t="n"/>
      <c r="HS44" s="173" t="n"/>
      <c r="HT44" s="173" t="n"/>
      <c r="HU44" s="173" t="n"/>
      <c r="HV44" s="173" t="n"/>
      <c r="HW44" s="173" t="n"/>
      <c r="HX44" s="173" t="n"/>
      <c r="HY44" s="173" t="n"/>
      <c r="HZ44" s="173" t="n"/>
      <c r="IA44" s="169" t="n"/>
      <c r="IB44" s="169" t="n"/>
      <c r="IC44" s="169" t="n"/>
      <c r="ID44" s="174" t="n"/>
      <c r="IE44" s="173" t="n"/>
      <c r="IF44" s="173" t="n"/>
      <c r="IG44" s="173" t="n"/>
      <c r="IH44" s="173" t="n"/>
      <c r="II44" s="173" t="n"/>
      <c r="IJ44" s="173" t="n"/>
      <c r="IK44" s="173" t="n"/>
      <c r="IL44" s="173" t="n"/>
      <c r="IM44" s="173" t="n"/>
      <c r="IN44" s="173" t="n"/>
      <c r="IO44" s="173" t="n"/>
      <c r="IP44" s="173" t="n"/>
      <c r="IQ44" s="169" t="n"/>
      <c r="IR44" s="169" t="n"/>
      <c r="IS44" s="169" t="n"/>
      <c r="IT44" s="174" t="n"/>
      <c r="IU44" s="173" t="n"/>
      <c r="IV44" s="173" t="n"/>
      <c r="IW44" s="173" t="n"/>
      <c r="IX44" s="173" t="n"/>
      <c r="IY44" s="173" t="n"/>
      <c r="IZ44" s="173" t="n"/>
      <c r="JA44" s="173" t="n"/>
      <c r="JB44" s="173" t="n"/>
      <c r="JC44" s="173" t="n"/>
      <c r="JD44" s="173" t="n"/>
      <c r="JE44" s="173" t="n"/>
      <c r="JF44" s="173" t="n"/>
    </row>
    <row r="45" ht="19.2" customHeight="1" s="294">
      <c r="A45" s="175" t="inlineStr">
        <is>
          <t>检测 /Operator：</t>
        </is>
      </c>
      <c r="B45" s="300" t="n"/>
      <c r="C45" s="300" t="n"/>
      <c r="D45" s="176" t="inlineStr">
        <is>
          <t>楚谭琼</t>
        </is>
      </c>
      <c r="E45" s="300" t="n"/>
      <c r="F45" s="300" t="n"/>
      <c r="G45" s="300" t="n"/>
      <c r="H45" s="300" t="n"/>
      <c r="I45" s="300" t="n"/>
      <c r="J45" s="300" t="n"/>
      <c r="K45" s="175" t="inlineStr">
        <is>
          <t>审核/Review：</t>
        </is>
      </c>
      <c r="L45" s="300" t="n"/>
      <c r="M45" s="300" t="n"/>
      <c r="N45" s="177" t="inlineStr">
        <is>
          <t>余义芳</t>
        </is>
      </c>
      <c r="O45" s="300" t="n"/>
      <c r="P45" s="300" t="n"/>
      <c r="Q45" s="300" t="n"/>
      <c r="R45" s="300" t="n"/>
      <c r="S45" s="300" t="n"/>
      <c r="T45" s="300" t="n"/>
      <c r="U45" s="175" t="inlineStr">
        <is>
          <t>核准/Approval:</t>
        </is>
      </c>
      <c r="V45" s="300" t="n"/>
      <c r="W45" s="300" t="n"/>
      <c r="X45" s="177" t="inlineStr">
        <is>
          <t>王立均</t>
        </is>
      </c>
      <c r="Y45" s="300" t="n"/>
      <c r="Z45" s="300" t="n"/>
      <c r="AA45" s="300" t="n"/>
      <c r="AB45" s="300" t="n"/>
      <c r="AC45" s="300" t="n"/>
      <c r="AD45" s="300" t="n"/>
      <c r="AE45" s="300" t="n"/>
      <c r="AF45" s="300" t="n"/>
      <c r="AG45" s="300" t="n"/>
      <c r="AH45" s="300" t="n"/>
      <c r="AI45" s="300" t="n"/>
      <c r="AJ45" s="300" t="n"/>
      <c r="AK45" s="300" t="n"/>
      <c r="AL45" s="300" t="n"/>
      <c r="AM45" s="300" t="n"/>
      <c r="AN45" s="300" t="n"/>
      <c r="AO45" s="300" t="n"/>
      <c r="AP45" s="300" t="n"/>
      <c r="AQ45" s="178" t="n"/>
      <c r="AR45" s="179" t="n"/>
      <c r="AS45" s="180" t="n"/>
      <c r="AT45" s="180" t="n"/>
      <c r="AU45" s="180" t="n"/>
      <c r="AV45" s="180" t="n"/>
      <c r="AW45" s="180" t="n"/>
      <c r="AX45" s="179" t="n"/>
      <c r="AY45" s="180" t="n"/>
      <c r="AZ45" s="180" t="n"/>
      <c r="BA45" s="180" t="n"/>
      <c r="BB45" s="180" t="n"/>
      <c r="BC45" s="179" t="n"/>
      <c r="BD45" s="178" t="n"/>
      <c r="BE45" s="178" t="n"/>
      <c r="BF45" s="178" t="n"/>
      <c r="BG45" s="179" t="n"/>
      <c r="BH45" s="179" t="n"/>
      <c r="BI45" s="180" t="n"/>
      <c r="BJ45" s="180" t="n"/>
      <c r="BK45" s="180" t="n"/>
      <c r="BL45" s="180" t="n"/>
      <c r="BM45" s="180" t="n"/>
      <c r="BN45" s="179" t="n"/>
      <c r="BO45" s="180" t="n"/>
      <c r="BP45" s="180" t="n"/>
      <c r="BQ45" s="180" t="n"/>
      <c r="BR45" s="180" t="n"/>
      <c r="BS45" s="179" t="n"/>
      <c r="BT45" s="178" t="n"/>
      <c r="BU45" s="178" t="n"/>
      <c r="BV45" s="178" t="n"/>
      <c r="BW45" s="179" t="n"/>
      <c r="BX45" s="179" t="n"/>
      <c r="BY45" s="180" t="n"/>
      <c r="BZ45" s="180" t="n"/>
      <c r="CA45" s="180" t="n"/>
      <c r="CB45" s="180" t="n"/>
      <c r="CC45" s="180" t="n"/>
      <c r="CD45" s="179" t="n"/>
      <c r="CE45" s="180" t="n"/>
      <c r="CF45" s="180" t="n"/>
      <c r="CG45" s="180" t="n"/>
      <c r="CH45" s="180" t="n"/>
      <c r="CI45" s="179" t="n"/>
      <c r="CJ45" s="178" t="n"/>
      <c r="CK45" s="178" t="n"/>
      <c r="CL45" s="178" t="n"/>
      <c r="CM45" s="179" t="n"/>
      <c r="CN45" s="179" t="n"/>
      <c r="CO45" s="180" t="n"/>
      <c r="CP45" s="180" t="n"/>
      <c r="CQ45" s="180" t="n"/>
      <c r="CR45" s="180" t="n"/>
      <c r="CS45" s="180" t="n"/>
      <c r="CT45" s="179" t="n"/>
      <c r="CU45" s="180" t="n"/>
      <c r="CV45" s="180" t="n"/>
      <c r="CW45" s="180" t="n"/>
      <c r="CX45" s="180" t="n"/>
      <c r="CY45" s="179" t="n"/>
      <c r="CZ45" s="178" t="n"/>
      <c r="DA45" s="178" t="n"/>
      <c r="DB45" s="178" t="n"/>
      <c r="DC45" s="179" t="n"/>
      <c r="DD45" s="179" t="n"/>
      <c r="DE45" s="180" t="n"/>
      <c r="DF45" s="180" t="n"/>
      <c r="DG45" s="180" t="n"/>
      <c r="DH45" s="180" t="n"/>
      <c r="DI45" s="180" t="n"/>
      <c r="DJ45" s="179" t="n"/>
      <c r="DK45" s="180" t="n"/>
      <c r="DL45" s="180" t="n"/>
      <c r="DM45" s="180" t="n"/>
      <c r="DN45" s="180" t="n"/>
      <c r="DO45" s="179" t="n"/>
      <c r="DP45" s="178" t="n"/>
      <c r="DQ45" s="178" t="n"/>
      <c r="DR45" s="178" t="n"/>
      <c r="DS45" s="179" t="n"/>
      <c r="DT45" s="179" t="n"/>
      <c r="DU45" s="180" t="n"/>
      <c r="DV45" s="180" t="n"/>
      <c r="DW45" s="180" t="n"/>
      <c r="DX45" s="180" t="n"/>
      <c r="DY45" s="180" t="n"/>
      <c r="DZ45" s="179" t="n"/>
      <c r="EA45" s="180" t="n"/>
      <c r="EB45" s="180" t="n"/>
      <c r="EC45" s="180" t="n"/>
      <c r="ED45" s="180" t="n"/>
      <c r="EE45" s="179" t="n"/>
      <c r="EF45" s="178" t="n"/>
      <c r="EG45" s="178" t="n"/>
      <c r="EH45" s="178" t="n"/>
      <c r="EI45" s="179" t="n"/>
      <c r="EJ45" s="179" t="n"/>
      <c r="EK45" s="180" t="n"/>
      <c r="EL45" s="180" t="n"/>
      <c r="EM45" s="180" t="n"/>
      <c r="EN45" s="180" t="n"/>
      <c r="EO45" s="180" t="n"/>
      <c r="EP45" s="179" t="n"/>
      <c r="EQ45" s="180" t="n"/>
      <c r="ER45" s="180" t="n"/>
      <c r="ES45" s="180" t="n"/>
      <c r="ET45" s="180" t="n"/>
      <c r="EU45" s="179" t="n"/>
      <c r="EV45" s="178" t="n"/>
      <c r="EW45" s="178" t="n"/>
      <c r="EX45" s="178" t="n"/>
      <c r="EY45" s="179" t="n"/>
      <c r="EZ45" s="179" t="n"/>
      <c r="FA45" s="180" t="n"/>
      <c r="FB45" s="180" t="n"/>
      <c r="FC45" s="180" t="n"/>
      <c r="FD45" s="180" t="n"/>
      <c r="FE45" s="180" t="n"/>
      <c r="FF45" s="179" t="n"/>
      <c r="FG45" s="180" t="n"/>
      <c r="FH45" s="180" t="n"/>
      <c r="FI45" s="180" t="n"/>
      <c r="FJ45" s="180" t="n"/>
      <c r="FK45" s="179" t="n"/>
      <c r="FL45" s="178" t="n"/>
      <c r="FM45" s="178" t="n"/>
      <c r="FN45" s="178" t="n"/>
      <c r="FO45" s="179" t="n"/>
      <c r="FP45" s="179" t="n"/>
      <c r="FQ45" s="180" t="n"/>
      <c r="FR45" s="180" t="n"/>
      <c r="FS45" s="180" t="n"/>
      <c r="FT45" s="180" t="n"/>
      <c r="FU45" s="180" t="n"/>
      <c r="FV45" s="179" t="n"/>
      <c r="FW45" s="180" t="n"/>
      <c r="FX45" s="180" t="n"/>
      <c r="FY45" s="180" t="n"/>
      <c r="FZ45" s="180" t="n"/>
      <c r="GA45" s="179" t="n"/>
      <c r="GB45" s="178" t="n"/>
      <c r="GC45" s="178" t="n"/>
      <c r="GD45" s="178" t="n"/>
      <c r="GE45" s="179" t="n"/>
      <c r="GF45" s="179" t="n"/>
      <c r="GG45" s="180" t="n"/>
      <c r="GH45" s="180" t="n"/>
      <c r="GI45" s="180" t="n"/>
      <c r="GJ45" s="180" t="n"/>
      <c r="GK45" s="180" t="n"/>
      <c r="GL45" s="179" t="n"/>
      <c r="GM45" s="180" t="n"/>
      <c r="GN45" s="180" t="n"/>
      <c r="GO45" s="180" t="n"/>
      <c r="GP45" s="180" t="n"/>
      <c r="GQ45" s="179" t="n"/>
      <c r="GR45" s="178" t="n"/>
      <c r="GS45" s="178" t="n"/>
      <c r="GT45" s="178" t="n"/>
      <c r="GU45" s="179" t="n"/>
      <c r="GV45" s="179" t="n"/>
      <c r="GW45" s="180" t="n"/>
      <c r="GX45" s="180" t="n"/>
      <c r="GY45" s="180" t="n"/>
      <c r="GZ45" s="180" t="n"/>
      <c r="HA45" s="180" t="n"/>
      <c r="HB45" s="179" t="n"/>
      <c r="HC45" s="180" t="n"/>
      <c r="HD45" s="180" t="n"/>
      <c r="HE45" s="180" t="n"/>
      <c r="HF45" s="180" t="n"/>
      <c r="HG45" s="179" t="n"/>
      <c r="HH45" s="178" t="n"/>
      <c r="HI45" s="178" t="n"/>
      <c r="HJ45" s="178" t="n"/>
      <c r="HK45" s="179" t="n"/>
      <c r="HL45" s="179" t="n"/>
      <c r="HM45" s="180" t="n"/>
      <c r="HN45" s="180" t="n"/>
      <c r="HO45" s="180" t="n"/>
      <c r="HP45" s="180" t="n"/>
      <c r="HQ45" s="180" t="n"/>
      <c r="HR45" s="179" t="n"/>
      <c r="HS45" s="180" t="n"/>
      <c r="HT45" s="180" t="n"/>
      <c r="HU45" s="180" t="n"/>
      <c r="HV45" s="180" t="n"/>
      <c r="HW45" s="179" t="n"/>
      <c r="HX45" s="178" t="n"/>
      <c r="HY45" s="178" t="n"/>
      <c r="HZ45" s="178" t="n"/>
      <c r="IA45" s="179" t="n"/>
      <c r="IB45" s="179" t="n"/>
      <c r="IC45" s="180" t="n"/>
      <c r="ID45" s="180" t="n"/>
      <c r="IE45" s="180" t="n"/>
      <c r="IF45" s="180" t="n"/>
      <c r="IG45" s="180" t="n"/>
      <c r="IH45" s="179" t="n"/>
      <c r="II45" s="180" t="n"/>
      <c r="IJ45" s="180" t="n"/>
      <c r="IK45" s="180" t="n"/>
      <c r="IL45" s="180" t="n"/>
      <c r="IM45" s="179" t="n"/>
      <c r="IN45" s="178" t="n"/>
      <c r="IO45" s="178" t="n"/>
      <c r="IP45" s="178" t="n"/>
      <c r="IQ45" s="179" t="n"/>
      <c r="IR45" s="179" t="n"/>
      <c r="IS45" s="180" t="n"/>
      <c r="IT45" s="180" t="n"/>
      <c r="IU45" s="180" t="n"/>
      <c r="IV45" s="180" t="n"/>
      <c r="IW45" s="180" t="n"/>
      <c r="IX45" s="179" t="n"/>
      <c r="IY45" s="180" t="n"/>
      <c r="IZ45" s="180" t="n"/>
      <c r="JA45" s="180" t="n"/>
      <c r="JB45" s="180" t="n"/>
      <c r="JC45" s="179" t="n"/>
      <c r="JD45" s="178" t="n"/>
      <c r="JE45" s="178" t="n"/>
      <c r="JF45" s="178" t="n"/>
    </row>
    <row r="46" ht="13.15" customHeight="1" s="294">
      <c r="A46" s="300" t="n"/>
      <c r="B46" s="300" t="n"/>
      <c r="C46" s="300" t="n"/>
      <c r="D46" s="300" t="n"/>
      <c r="E46" s="300" t="n"/>
      <c r="F46" s="300" t="n"/>
      <c r="G46" s="300" t="n"/>
      <c r="H46" s="300" t="n"/>
      <c r="I46" s="300" t="n"/>
      <c r="J46" s="300" t="n"/>
      <c r="K46" s="300" t="n"/>
      <c r="L46" s="300" t="n"/>
      <c r="M46" s="300" t="n"/>
      <c r="N46" s="300" t="n"/>
      <c r="O46" s="300" t="n"/>
      <c r="P46" s="300" t="n"/>
      <c r="Q46" s="300" t="n"/>
      <c r="R46" s="300" t="n"/>
      <c r="S46" s="300" t="n"/>
      <c r="T46" s="300" t="n"/>
      <c r="U46" s="300" t="n"/>
      <c r="V46" s="300" t="n"/>
      <c r="W46" s="300" t="n"/>
      <c r="X46" s="300" t="n"/>
      <c r="Y46" s="300" t="n"/>
      <c r="Z46" s="300" t="n"/>
      <c r="AA46" s="300" t="n"/>
      <c r="AB46" s="300" t="n"/>
      <c r="AC46" s="300" t="n"/>
      <c r="AD46" s="300" t="n"/>
      <c r="AE46" s="300" t="n"/>
      <c r="AF46" s="300" t="n"/>
      <c r="AG46" s="300" t="n"/>
      <c r="AH46" s="300" t="n"/>
      <c r="AI46" s="300" t="n"/>
      <c r="AJ46" s="300" t="n"/>
      <c r="AK46" s="300" t="n"/>
      <c r="AL46" s="300" t="n"/>
      <c r="AM46" s="300" t="n"/>
      <c r="AN46" s="300" t="n"/>
      <c r="AO46" s="300" t="n"/>
      <c r="AP46" s="300" t="n"/>
    </row>
    <row r="47" ht="17.4" customHeight="1" s="294">
      <c r="A47" s="181" t="inlineStr">
        <is>
          <t>Remark:</t>
        </is>
      </c>
      <c r="B47" s="182" t="n"/>
      <c r="C47" s="182" t="n"/>
      <c r="D47" s="182" t="n"/>
      <c r="E47" s="182" t="n"/>
      <c r="F47" s="182" t="n"/>
      <c r="G47" s="182" t="n"/>
      <c r="H47" s="182" t="n"/>
      <c r="I47" s="182" t="n"/>
      <c r="J47" s="182" t="n"/>
      <c r="K47" s="182" t="n"/>
      <c r="L47" s="182" t="n"/>
      <c r="M47" s="182" t="n"/>
      <c r="N47" s="182" t="n"/>
      <c r="O47" s="182" t="n"/>
      <c r="P47" s="182" t="n"/>
      <c r="Q47" s="182" t="n"/>
      <c r="R47" s="182" t="n"/>
    </row>
    <row r="48" ht="15.6" customFormat="1" customHeight="1" s="112">
      <c r="A48" s="112" t="inlineStr">
        <is>
          <t>1--所有尺寸在样品承认阶段测量完成;</t>
        </is>
      </c>
      <c r="AO48" s="183" t="n"/>
    </row>
    <row r="49" ht="15.6" customFormat="1" customHeight="1" s="112">
      <c r="A49" s="112" t="inlineStr">
        <is>
          <t>2--测量数据的数量为32PCS,存在模穴则均分考虑;</t>
        </is>
      </c>
      <c r="AO49" s="183" t="n"/>
    </row>
    <row r="50" ht="15.6" customFormat="1" customHeight="1" s="112">
      <c r="A50" s="112" t="inlineStr">
        <is>
          <t>3--如果是关键尺寸请在对应列里用绿色底覆盖以示备注;</t>
        </is>
      </c>
      <c r="AO50" s="183" t="n"/>
    </row>
    <row r="51" ht="15.6" customFormat="1" customHeight="1" s="112">
      <c r="A51" s="112" t="inlineStr">
        <is>
          <t>4--如果测量数据不在规格范围内,将用红色显示;</t>
        </is>
      </c>
      <c r="AO51" s="183" t="n"/>
    </row>
    <row r="52" ht="15.6" customFormat="1" customHeight="1" s="112">
      <c r="A52" s="112" t="inlineStr">
        <is>
          <t>5--如果涉及到多个图纸,请在备注栏写上对应的图纸号;</t>
        </is>
      </c>
      <c r="AO52" s="183" t="n"/>
    </row>
    <row r="53" ht="15.6" customHeight="1" s="294">
      <c r="A53" s="112" t="inlineStr">
        <is>
          <t>6--绿色产品若勾选其他，须填入客户绿色产品规范代码.</t>
        </is>
      </c>
    </row>
  </sheetData>
  <mergeCells count="54">
    <mergeCell ref="Y4:Z4"/>
    <mergeCell ref="A1:AP1"/>
    <mergeCell ref="G2:H2"/>
    <mergeCell ref="Y3:Z3"/>
    <mergeCell ref="C4:F5"/>
    <mergeCell ref="M5:N5"/>
    <mergeCell ref="O4:R5"/>
    <mergeCell ref="U2:X3"/>
    <mergeCell ref="I6:AN6"/>
    <mergeCell ref="A41:AP41"/>
    <mergeCell ref="S3:T3"/>
    <mergeCell ref="D45:J46"/>
    <mergeCell ref="F43:AP43"/>
    <mergeCell ref="M2:N2"/>
    <mergeCell ref="S2:T2"/>
    <mergeCell ref="Y2:Z2"/>
    <mergeCell ref="AO6:AO8"/>
    <mergeCell ref="E6:H7"/>
    <mergeCell ref="A3:B3"/>
    <mergeCell ref="G3:H3"/>
    <mergeCell ref="A45:C46"/>
    <mergeCell ref="I7:AN7"/>
    <mergeCell ref="C2:F3"/>
    <mergeCell ref="K45:M46"/>
    <mergeCell ref="A2:B2"/>
    <mergeCell ref="A44:C44"/>
    <mergeCell ref="U45:W46"/>
    <mergeCell ref="X45:AP46"/>
    <mergeCell ref="A5:B5"/>
    <mergeCell ref="G5:H5"/>
    <mergeCell ref="A42:D43"/>
    <mergeCell ref="I4:L5"/>
    <mergeCell ref="O2:R3"/>
    <mergeCell ref="U4:X5"/>
    <mergeCell ref="M3:N3"/>
    <mergeCell ref="L44:M44"/>
    <mergeCell ref="A6:A8"/>
    <mergeCell ref="A4:B4"/>
    <mergeCell ref="G4:H4"/>
    <mergeCell ref="I44:J44"/>
    <mergeCell ref="AA2:AP3"/>
    <mergeCell ref="B6:D7"/>
    <mergeCell ref="M4:N4"/>
    <mergeCell ref="A40:AP40"/>
    <mergeCell ref="S5:T5"/>
    <mergeCell ref="AB5:AP5"/>
    <mergeCell ref="O44:AP44"/>
    <mergeCell ref="A39:AP39"/>
    <mergeCell ref="F42:AP42"/>
    <mergeCell ref="I2:L3"/>
    <mergeCell ref="N45:T46"/>
    <mergeCell ref="S4:T4"/>
    <mergeCell ref="AP6:AP8"/>
    <mergeCell ref="F44:G44"/>
  </mergeCells>
  <conditionalFormatting sqref="I9:AN9">
    <cfRule type="cellIs" priority="32" operator="notBetween" dxfId="0" stopIfTrue="1">
      <formula>$B$9</formula>
      <formula>$D$9</formula>
    </cfRule>
  </conditionalFormatting>
  <conditionalFormatting sqref="I13:AN13">
    <cfRule type="cellIs" priority="28" operator="notBetween" dxfId="0" stopIfTrue="1">
      <formula>$B$13</formula>
      <formula>$D$13</formula>
    </cfRule>
  </conditionalFormatting>
  <conditionalFormatting sqref="I14:AN14">
    <cfRule type="cellIs" priority="27" operator="notBetween" dxfId="0" stopIfTrue="1">
      <formula>$B$14</formula>
      <formula>$D$14</formula>
    </cfRule>
  </conditionalFormatting>
  <conditionalFormatting sqref="I16:AN16">
    <cfRule type="cellIs" priority="25" operator="notBetween" dxfId="0" stopIfTrue="1">
      <formula>$B$16</formula>
      <formula>$D$16</formula>
    </cfRule>
  </conditionalFormatting>
  <conditionalFormatting sqref="I17:AN17">
    <cfRule type="cellIs" priority="24" operator="notBetween" dxfId="0" stopIfTrue="1">
      <formula>$B$17</formula>
      <formula>$D$17</formula>
    </cfRule>
  </conditionalFormatting>
  <conditionalFormatting sqref="I18:AN18">
    <cfRule type="cellIs" priority="23" operator="notBetween" dxfId="0" stopIfTrue="1">
      <formula>$B$18</formula>
      <formula>$D$18</formula>
    </cfRule>
  </conditionalFormatting>
  <conditionalFormatting sqref="I19:AN19">
    <cfRule type="cellIs" priority="22" operator="notBetween" dxfId="0" stopIfTrue="1">
      <formula>$B$19</formula>
      <formula>$D$19</formula>
    </cfRule>
  </conditionalFormatting>
  <conditionalFormatting sqref="I20:AN20">
    <cfRule type="cellIs" priority="21" operator="notBetween" dxfId="0" stopIfTrue="1">
      <formula>$B$20</formula>
      <formula>$D$20</formula>
    </cfRule>
  </conditionalFormatting>
  <conditionalFormatting sqref="I21:AN21">
    <cfRule type="cellIs" priority="20" operator="notBetween" dxfId="0" stopIfTrue="1">
      <formula>$B$21</formula>
      <formula>$D$21</formula>
    </cfRule>
  </conditionalFormatting>
  <conditionalFormatting sqref="I22:AN22">
    <cfRule type="cellIs" priority="19" operator="notBetween" dxfId="0" stopIfTrue="1">
      <formula>$B$22</formula>
      <formula>$D$22</formula>
    </cfRule>
  </conditionalFormatting>
  <conditionalFormatting sqref="I23:AN23">
    <cfRule type="cellIs" priority="18" operator="notBetween" dxfId="0" stopIfTrue="1">
      <formula>$B$23</formula>
      <formula>$D$23</formula>
    </cfRule>
  </conditionalFormatting>
  <conditionalFormatting sqref="I24:AN24">
    <cfRule type="cellIs" priority="17" operator="notBetween" dxfId="0" stopIfTrue="1">
      <formula>$B$24</formula>
      <formula>$D$24</formula>
    </cfRule>
  </conditionalFormatting>
  <conditionalFormatting sqref="I25:AN25">
    <cfRule type="cellIs" priority="16" operator="notBetween" dxfId="0" stopIfTrue="1">
      <formula>$B$25</formula>
      <formula>$D$25</formula>
    </cfRule>
  </conditionalFormatting>
  <conditionalFormatting sqref="I26:AN26">
    <cfRule type="cellIs" priority="15" operator="notBetween" dxfId="0" stopIfTrue="1">
      <formula>$B$26</formula>
      <formula>$D$26</formula>
    </cfRule>
  </conditionalFormatting>
  <conditionalFormatting sqref="I27:AN27">
    <cfRule type="cellIs" priority="14" operator="notBetween" dxfId="0" stopIfTrue="1">
      <formula>$B$27</formula>
      <formula>$D$27</formula>
    </cfRule>
  </conditionalFormatting>
  <conditionalFormatting sqref="I28:AN28">
    <cfRule type="cellIs" priority="13" operator="notBetween" dxfId="0" stopIfTrue="1">
      <formula>$B$28</formula>
      <formula>$D$28</formula>
    </cfRule>
  </conditionalFormatting>
  <conditionalFormatting sqref="I29:AN29">
    <cfRule type="cellIs" priority="12" operator="notBetween" dxfId="0" stopIfTrue="1">
      <formula>$B$29</formula>
      <formula>$D$29</formula>
    </cfRule>
  </conditionalFormatting>
  <conditionalFormatting sqref="I30:AN30">
    <cfRule type="cellIs" priority="11" operator="notBetween" dxfId="0" stopIfTrue="1">
      <formula>$B$30</formula>
      <formula>$D$30</formula>
    </cfRule>
  </conditionalFormatting>
  <conditionalFormatting sqref="I31:AN31">
    <cfRule type="cellIs" priority="10" operator="notBetween" dxfId="0" stopIfTrue="1">
      <formula>$B$31</formula>
      <formula>$D$31</formula>
    </cfRule>
  </conditionalFormatting>
  <conditionalFormatting sqref="I32:AN32">
    <cfRule type="cellIs" priority="9" operator="notBetween" dxfId="0" stopIfTrue="1">
      <formula>$B$32</formula>
      <formula>$D$32</formula>
    </cfRule>
  </conditionalFormatting>
  <conditionalFormatting sqref="I33:AN33">
    <cfRule type="cellIs" priority="8" operator="notBetween" dxfId="0" stopIfTrue="1">
      <formula>$B$33</formula>
      <formula>$D$33</formula>
    </cfRule>
  </conditionalFormatting>
  <conditionalFormatting sqref="I34:AN34">
    <cfRule type="cellIs" priority="7" operator="notBetween" dxfId="0" stopIfTrue="1">
      <formula>$B$34</formula>
      <formula>$D$34</formula>
    </cfRule>
  </conditionalFormatting>
  <conditionalFormatting sqref="I35:AN35">
    <cfRule type="cellIs" priority="6" operator="notBetween" dxfId="0" stopIfTrue="1">
      <formula>$B$35</formula>
      <formula>$D$35</formula>
    </cfRule>
  </conditionalFormatting>
  <conditionalFormatting sqref="I36:AN36">
    <cfRule type="cellIs" priority="5" operator="notBetween" dxfId="0" stopIfTrue="1">
      <formula>$B$36</formula>
      <formula>$D$36</formula>
    </cfRule>
  </conditionalFormatting>
  <conditionalFormatting sqref="I37:AN37">
    <cfRule type="cellIs" priority="4" operator="notBetween" dxfId="0" stopIfTrue="1">
      <formula>$B$37</formula>
      <formula>$D$37</formula>
    </cfRule>
  </conditionalFormatting>
  <conditionalFormatting sqref="I38:AN38 I44:O44">
    <cfRule type="cellIs" priority="3" operator="notBetween" dxfId="0" stopIfTrue="1">
      <formula>$B$38</formula>
      <formula>$D$38</formula>
    </cfRule>
  </conditionalFormatting>
  <pageMargins left="0.42" right="0.24" top="0.36" bottom="0.33" header="0.36" footer="0.32"/>
  <pageSetup orientation="landscape" paperSize="1" scale="45"/>
  <drawing xmlns:r="http://schemas.openxmlformats.org/officeDocument/2006/relationships" r:id="rId1"/>
</worksheet>
</file>

<file path=xl/worksheets/sheet9.xml><?xml version="1.0" encoding="utf-8"?>
<worksheet xmlns="http://schemas.openxmlformats.org/spreadsheetml/2006/main">
  <sheetPr codeName="Sheet8">
    <outlinePr summaryBelow="1" summaryRight="1"/>
    <pageSetUpPr/>
  </sheetPr>
  <dimension ref="A1:C24"/>
  <sheetViews>
    <sheetView zoomScale="85" zoomScaleNormal="85" workbookViewId="0">
      <selection activeCell="H13" sqref="H13"/>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信赖性测试报告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inlineStr">
        <is>
          <t xml:space="preserve">                        线材                          端子</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AF73"/>
  <sheetViews>
    <sheetView showGridLines="0" view="pageBreakPreview" zoomScale="85" zoomScaleNormal="100" workbookViewId="0">
      <pane ySplit="1" topLeftCell="A5" activePane="bottomLeft" state="frozen"/>
      <selection activeCell="A1" sqref="A1"/>
      <selection pane="bottomLeft" activeCell="Z20" sqref="Z20:Z22"/>
    </sheetView>
  </sheetViews>
  <sheetFormatPr baseColWidth="8" defaultColWidth="8.875" defaultRowHeight="15.6"/>
  <cols>
    <col width="10.625" customWidth="1" style="24" min="1" max="1"/>
    <col width="9.875" customWidth="1" style="24" min="2" max="2"/>
    <col width="11.625" customWidth="1" style="24" min="3" max="3"/>
    <col width="10" customWidth="1" style="24" min="4" max="5"/>
    <col width="8.625" customWidth="1" style="24" min="6" max="6"/>
    <col width="12.75" customWidth="1" style="25" min="7" max="7"/>
    <col width="10.75" customWidth="1" style="25" min="8" max="8"/>
    <col width="9.25" customWidth="1" style="24" min="9" max="9"/>
    <col width="11" customWidth="1" style="24" min="10" max="10"/>
    <col width="12.625" customWidth="1" style="24" min="11" max="12"/>
    <col width="5.375" customWidth="1" style="24" min="13" max="16"/>
    <col width="5.75" customWidth="1" style="24" min="17" max="22"/>
    <col width="11.625" customWidth="1" style="24" min="23" max="23"/>
    <col width="18.375" customWidth="1" style="25" min="24" max="24"/>
    <col width="12.625" customWidth="1" style="24" min="25" max="25"/>
    <col width="5.875" customWidth="1" style="24" min="26" max="27"/>
    <col width="7" customWidth="1" style="24" min="28" max="28"/>
    <col width="10.875" customWidth="1" style="24" min="29" max="29"/>
    <col width="15.625" customWidth="1" style="24" min="30" max="30"/>
    <col width="2.625" customWidth="1" style="24" min="31" max="31"/>
    <col width="30.625" customWidth="1" style="24" min="32" max="32"/>
    <col width="8.875" customWidth="1" style="24" min="33" max="16384"/>
  </cols>
  <sheetData>
    <row r="1" ht="50.1" customHeight="1" s="294">
      <c r="A1" s="26" t="inlineStr">
        <is>
          <t>原物料有害物质调查表</t>
        </is>
      </c>
    </row>
    <row r="2" ht="19.9" customHeight="1" s="294">
      <c r="A2" s="343" t="inlineStr">
        <is>
          <t>供货商类别  :导线</t>
        </is>
      </c>
      <c r="B2" s="305" t="n"/>
      <c r="C2" s="305" t="n"/>
      <c r="D2" s="305" t="n"/>
      <c r="E2" s="305" t="n"/>
      <c r="F2" s="305" t="n"/>
      <c r="G2" s="305" t="n"/>
      <c r="H2" s="305" t="n"/>
      <c r="I2" s="306" t="n"/>
      <c r="J2" s="30" t="inlineStr">
        <is>
          <t>填表日期 :                 2026 年   06   月  18   日</t>
        </is>
      </c>
      <c r="K2" s="305" t="n"/>
      <c r="L2" s="305" t="n"/>
      <c r="M2" s="305" t="n"/>
      <c r="N2" s="305" t="n"/>
      <c r="O2" s="305" t="n"/>
      <c r="P2" s="305" t="n"/>
      <c r="Q2" s="305" t="n"/>
      <c r="R2" s="305" t="n"/>
      <c r="S2" s="305" t="n"/>
      <c r="T2" s="305" t="n"/>
      <c r="U2" s="305" t="n"/>
      <c r="V2" s="305" t="n"/>
      <c r="W2" s="305" t="n"/>
      <c r="X2" s="305" t="n"/>
      <c r="Y2" s="305" t="n"/>
      <c r="Z2" s="305" t="n"/>
      <c r="AA2" s="305" t="n"/>
      <c r="AB2" s="305" t="n"/>
      <c r="AC2" s="305" t="n"/>
      <c r="AD2" s="306" t="n"/>
      <c r="AF2" s="344" t="inlineStr">
        <is>
          <t>材质类别
Classification By Material</t>
        </is>
      </c>
    </row>
    <row r="3" ht="19.9" customHeight="1" s="294">
      <c r="A3" s="345">
        <f>"产品名称    :"&amp;封面!D14</f>
        <v/>
      </c>
      <c r="B3" s="317" t="n"/>
      <c r="C3" s="317" t="n"/>
      <c r="D3" s="317" t="n"/>
      <c r="E3" s="317" t="n"/>
      <c r="F3" s="317" t="n"/>
      <c r="G3" s="317" t="n"/>
      <c r="H3" s="317" t="n"/>
      <c r="I3" s="318" t="n"/>
      <c r="J3" s="36" t="inlineStr">
        <is>
          <t>供货商代码 : 635748340</t>
        </is>
      </c>
      <c r="AF3" s="316" t="n"/>
    </row>
    <row r="4" ht="19.9" customHeight="1" s="294">
      <c r="A4" s="30" t="inlineStr">
        <is>
          <t>供货商名称  :久益</t>
        </is>
      </c>
      <c r="B4" s="305" t="n"/>
      <c r="C4" s="305" t="n"/>
      <c r="D4" s="305" t="n"/>
      <c r="E4" s="305" t="n"/>
      <c r="F4" s="305" t="n"/>
      <c r="G4" s="305" t="n"/>
      <c r="H4" s="305" t="n"/>
      <c r="I4" s="305" t="n"/>
      <c r="J4" s="305" t="n"/>
      <c r="K4" s="305" t="n"/>
      <c r="L4" s="305" t="n"/>
      <c r="M4" s="305" t="n"/>
      <c r="N4" s="305" t="n"/>
      <c r="O4" s="305" t="n"/>
      <c r="P4" s="305" t="n"/>
      <c r="Q4" s="305" t="n"/>
      <c r="R4" s="305" t="n"/>
      <c r="S4" s="305" t="n"/>
      <c r="T4" s="305" t="n"/>
      <c r="U4" s="305" t="n"/>
      <c r="V4" s="305" t="n"/>
      <c r="W4" s="305" t="n"/>
      <c r="X4" s="305" t="n"/>
      <c r="Y4" s="305" t="n"/>
      <c r="Z4" s="305" t="n"/>
      <c r="AA4" s="305" t="n"/>
      <c r="AB4" s="305" t="n"/>
      <c r="AC4" s="305" t="n"/>
      <c r="AD4" s="306" t="n"/>
      <c r="AF4" s="40" t="inlineStr">
        <is>
          <t>1.金属类</t>
        </is>
      </c>
    </row>
    <row r="5" ht="19.9" customHeight="1" s="294">
      <c r="A5" s="41">
        <f>"地址 :"&amp;封面!C27</f>
        <v/>
      </c>
      <c r="AF5" s="43" t="inlineStr">
        <is>
          <t>2.塑料类</t>
        </is>
      </c>
    </row>
    <row r="6" ht="19.9" customHeight="1" s="294">
      <c r="A6" s="44" t="inlineStr">
        <is>
          <t>电话  :13537031623</t>
        </is>
      </c>
      <c r="B6" s="305" t="n"/>
      <c r="C6" s="305" t="n"/>
      <c r="D6" s="305" t="n"/>
      <c r="E6" s="305" t="n"/>
      <c r="F6" s="305" t="n"/>
      <c r="G6" s="305" t="n"/>
      <c r="H6" s="305" t="n"/>
      <c r="I6" s="305" t="n"/>
      <c r="J6" s="305" t="n"/>
      <c r="K6" s="305" t="n"/>
      <c r="L6" s="305" t="n"/>
      <c r="M6" s="305" t="n"/>
      <c r="N6" s="305" t="n"/>
      <c r="O6" s="305" t="n"/>
      <c r="P6" s="305" t="n"/>
      <c r="Q6" s="305" t="n"/>
      <c r="R6" s="305" t="n"/>
      <c r="S6" s="305" t="n"/>
      <c r="T6" s="305" t="n"/>
      <c r="U6" s="305" t="n"/>
      <c r="V6" s="305" t="n"/>
      <c r="W6" s="305" t="n"/>
      <c r="X6" s="305" t="n"/>
      <c r="Y6" s="305" t="n"/>
      <c r="Z6" s="305" t="n"/>
      <c r="AA6" s="305" t="n"/>
      <c r="AB6" s="305" t="n"/>
      <c r="AC6" s="305" t="n"/>
      <c r="AD6" s="306" t="n"/>
      <c r="AF6" s="43" t="inlineStr">
        <is>
          <t>3.橡胶类</t>
        </is>
      </c>
    </row>
    <row r="7" ht="19.9" customHeight="1" s="294">
      <c r="A7" s="45" t="inlineStr">
        <is>
          <t xml:space="preserve">　供货商联系窗口 ： </t>
        </is>
      </c>
      <c r="B7" s="322" t="n"/>
      <c r="C7" s="322" t="n"/>
      <c r="D7" s="322" t="n"/>
      <c r="E7" s="322" t="n"/>
      <c r="F7" s="322" t="n"/>
      <c r="G7" s="322" t="n"/>
      <c r="H7" s="322" t="n"/>
      <c r="I7" s="322" t="n"/>
      <c r="J7" s="322" t="n"/>
      <c r="K7" s="322" t="n"/>
      <c r="L7" s="322" t="n"/>
      <c r="M7" s="322" t="n"/>
      <c r="N7" s="322" t="n"/>
      <c r="O7" s="322" t="n"/>
      <c r="P7" s="322" t="n"/>
      <c r="Q7" s="322" t="n"/>
      <c r="R7" s="322" t="n"/>
      <c r="S7" s="322" t="n"/>
      <c r="T7" s="322" t="n"/>
      <c r="U7" s="322" t="n"/>
      <c r="V7" s="322" t="n"/>
      <c r="W7" s="322" t="n"/>
      <c r="X7" s="322" t="n"/>
      <c r="Y7" s="322" t="n"/>
      <c r="Z7" s="322" t="n"/>
      <c r="AA7" s="322" t="n"/>
      <c r="AB7" s="322" t="n"/>
      <c r="AC7" s="322" t="n"/>
      <c r="AD7" s="322" t="n"/>
      <c r="AF7" s="43" t="inlineStr">
        <is>
          <t>4.木材类</t>
        </is>
      </c>
    </row>
    <row r="8" ht="19.9" customHeight="1" s="294">
      <c r="A8" s="48" t="inlineStr">
        <is>
          <t>部门</t>
        </is>
      </c>
      <c r="B8" s="48" t="inlineStr">
        <is>
          <t>职称</t>
        </is>
      </c>
      <c r="C8" s="306" t="n"/>
      <c r="D8" s="48" t="inlineStr">
        <is>
          <t>厂区</t>
        </is>
      </c>
      <c r="E8" s="306" t="n"/>
      <c r="F8" s="48" t="inlineStr">
        <is>
          <t>姓名</t>
        </is>
      </c>
      <c r="G8" s="306" t="n"/>
      <c r="H8" s="48" t="inlineStr">
        <is>
          <t>电话</t>
        </is>
      </c>
      <c r="I8" s="305" t="n"/>
      <c r="J8" s="305" t="n"/>
      <c r="K8" s="305" t="n"/>
      <c r="L8" s="306" t="n"/>
      <c r="M8" s="49" t="inlineStr">
        <is>
          <t>E-Mail</t>
        </is>
      </c>
      <c r="N8" s="305" t="n"/>
      <c r="O8" s="305" t="n"/>
      <c r="P8" s="305" t="n"/>
      <c r="Q8" s="305" t="n"/>
      <c r="R8" s="305" t="n"/>
      <c r="S8" s="305" t="n"/>
      <c r="T8" s="305" t="n"/>
      <c r="U8" s="305" t="n"/>
      <c r="V8" s="305" t="n"/>
      <c r="W8" s="305" t="n"/>
      <c r="X8" s="305" t="n"/>
      <c r="Y8" s="305" t="n"/>
      <c r="Z8" s="305" t="n"/>
      <c r="AA8" s="305" t="n"/>
      <c r="AB8" s="305" t="n"/>
      <c r="AC8" s="305" t="n"/>
      <c r="AD8" s="306" t="n"/>
      <c r="AF8" s="43" t="inlineStr">
        <is>
          <t>5.玻璃类</t>
        </is>
      </c>
    </row>
    <row r="9" ht="19.9" customHeight="1" s="294">
      <c r="A9" s="50" t="inlineStr">
        <is>
          <t>品质部</t>
        </is>
      </c>
      <c r="B9" s="50" t="inlineStr">
        <is>
          <t>经理</t>
        </is>
      </c>
      <c r="C9" s="306" t="n"/>
      <c r="D9" s="50" t="inlineStr">
        <is>
          <t>生久老厂房</t>
        </is>
      </c>
      <c r="E9" s="306" t="n"/>
      <c r="F9" s="50" t="inlineStr">
        <is>
          <t>王立均</t>
        </is>
      </c>
      <c r="G9" s="306" t="n"/>
      <c r="H9" s="51" t="n">
        <v>13537031623</v>
      </c>
      <c r="I9" s="305" t="n"/>
      <c r="J9" s="305" t="n"/>
      <c r="K9" s="305" t="n"/>
      <c r="L9" s="306" t="n"/>
      <c r="M9" s="52">
        <f>封面!C33</f>
        <v/>
      </c>
      <c r="N9" s="317" t="n"/>
      <c r="O9" s="317" t="n"/>
      <c r="P9" s="317" t="n"/>
      <c r="Q9" s="317" t="n"/>
      <c r="R9" s="317" t="n"/>
      <c r="S9" s="317" t="n"/>
      <c r="T9" s="317" t="n"/>
      <c r="U9" s="317" t="n"/>
      <c r="V9" s="317" t="n"/>
      <c r="W9" s="317" t="n"/>
      <c r="X9" s="317" t="n"/>
      <c r="Y9" s="317" t="n"/>
      <c r="Z9" s="317" t="n"/>
      <c r="AA9" s="317" t="n"/>
      <c r="AB9" s="317" t="n"/>
      <c r="AC9" s="317" t="n"/>
      <c r="AD9" s="317" t="n"/>
      <c r="AF9" s="43" t="inlineStr">
        <is>
          <t>6.陶瓷类</t>
        </is>
      </c>
    </row>
    <row r="10" ht="19.9" customHeight="1" s="294">
      <c r="A10" s="55">
        <f>"适用产品生久料号 ："&amp;封面!D14</f>
        <v/>
      </c>
      <c r="B10" s="305" t="n"/>
      <c r="C10" s="305" t="n"/>
      <c r="D10" s="305" t="n"/>
      <c r="E10" s="305" t="n"/>
      <c r="F10" s="305" t="n"/>
      <c r="G10" s="305" t="n"/>
      <c r="H10" s="305" t="n"/>
      <c r="I10" s="305" t="n"/>
      <c r="J10" s="305" t="n"/>
      <c r="K10" s="305" t="n"/>
      <c r="L10" s="305" t="n"/>
      <c r="M10" s="305" t="n"/>
      <c r="N10" s="305" t="n"/>
      <c r="O10" s="305" t="n"/>
      <c r="P10" s="305" t="n"/>
      <c r="Q10" s="305" t="n"/>
      <c r="R10" s="305" t="n"/>
      <c r="S10" s="305" t="n"/>
      <c r="T10" s="305" t="n"/>
      <c r="U10" s="305" t="n"/>
      <c r="V10" s="305" t="n"/>
      <c r="W10" s="305" t="n"/>
      <c r="X10" s="305" t="n"/>
      <c r="Y10" s="305" t="n"/>
      <c r="Z10" s="305" t="n"/>
      <c r="AA10" s="305" t="n"/>
      <c r="AB10" s="305" t="n"/>
      <c r="AC10" s="305" t="n"/>
      <c r="AD10" s="306" t="n"/>
      <c r="AF10" s="43" t="inlineStr">
        <is>
          <t>7.纸类</t>
        </is>
      </c>
    </row>
    <row r="11" ht="34.5" customHeight="1" s="294">
      <c r="A11" s="63" t="inlineStr">
        <is>
          <t>检测报告信息栏 
Information of Test Report</t>
        </is>
      </c>
      <c r="B11" s="317" t="n"/>
      <c r="C11" s="317" t="n"/>
      <c r="D11" s="317" t="n"/>
      <c r="E11" s="317" t="n"/>
      <c r="F11" s="317" t="n"/>
      <c r="G11" s="59" t="inlineStr">
        <is>
          <t>REACH指令信息栏
Information of REACH Directive</t>
        </is>
      </c>
      <c r="H11" s="317" t="n"/>
      <c r="I11" s="317" t="n"/>
      <c r="J11" s="317" t="n"/>
      <c r="K11" s="317" t="n"/>
      <c r="L11" s="318" t="n"/>
      <c r="M11" s="60" t="inlineStr">
        <is>
          <t>有害物质含量(ppm)
Hazardous Substance Content(ppm)</t>
        </is>
      </c>
      <c r="N11" s="305" t="n"/>
      <c r="O11" s="305" t="n"/>
      <c r="P11" s="305" t="n"/>
      <c r="Q11" s="305" t="n"/>
      <c r="R11" s="305" t="n"/>
      <c r="S11" s="305" t="n"/>
      <c r="T11" s="305" t="n"/>
      <c r="U11" s="305" t="n"/>
      <c r="V11" s="305" t="n"/>
      <c r="W11" s="305" t="n"/>
      <c r="X11" s="305" t="n"/>
      <c r="Y11" s="305" t="n"/>
      <c r="Z11" s="305" t="n"/>
      <c r="AA11" s="306" t="n"/>
      <c r="AB11" s="63" t="inlineStr">
        <is>
          <t>是否符合生久要求</t>
        </is>
      </c>
      <c r="AC11" s="317" t="n"/>
      <c r="AD11" s="317" t="n"/>
      <c r="AF11" s="43" t="inlineStr">
        <is>
          <t>8.制程添加物及化学品</t>
        </is>
      </c>
    </row>
    <row r="12" ht="41.25" customFormat="1" customHeight="1" s="21">
      <c r="A12" s="321" t="n"/>
      <c r="B12" s="322" t="n"/>
      <c r="C12" s="322" t="n"/>
      <c r="D12" s="322" t="n"/>
      <c r="E12" s="322" t="n"/>
      <c r="F12" s="322" t="n"/>
      <c r="G12" s="321" t="n"/>
      <c r="H12" s="322" t="n"/>
      <c r="I12" s="322" t="n"/>
      <c r="J12" s="322" t="n"/>
      <c r="K12" s="322" t="n"/>
      <c r="L12" s="323" t="n"/>
      <c r="M12" s="60" t="inlineStr">
        <is>
          <t>RoHS管制项目
RoHS requirements</t>
        </is>
      </c>
      <c r="N12" s="305" t="n"/>
      <c r="O12" s="305" t="n"/>
      <c r="P12" s="305" t="n"/>
      <c r="Q12" s="305" t="n"/>
      <c r="R12" s="305" t="n"/>
      <c r="S12" s="305" t="n"/>
      <c r="T12" s="305" t="n"/>
      <c r="U12" s="305" t="n"/>
      <c r="V12" s="305" t="n"/>
      <c r="W12" s="305" t="n"/>
      <c r="X12" s="305" t="n"/>
      <c r="Y12" s="306" t="n"/>
      <c r="Z12" s="60" t="inlineStr">
        <is>
          <t>无卤管制项目
Halogen Free requirements</t>
        </is>
      </c>
      <c r="AA12" s="306" t="n"/>
      <c r="AB12" s="321" t="n"/>
      <c r="AC12" s="322" t="n"/>
      <c r="AD12" s="322" t="n"/>
      <c r="AF12" s="43" t="inlineStr">
        <is>
          <t>9.其它类(除上述类别外)</t>
        </is>
      </c>
    </row>
    <row r="13" ht="69.95" customFormat="1" customHeight="1" s="22">
      <c r="A13" s="60" t="inlineStr">
        <is>
          <t>项次 No.</t>
        </is>
      </c>
      <c r="B13" s="60" t="inlineStr">
        <is>
          <t>零部件名称
Sub-part</t>
        </is>
      </c>
      <c r="C13" s="67" t="inlineStr">
        <is>
          <t>原材料供货商
Raw Material Supplier</t>
        </is>
      </c>
      <c r="D13" s="67" t="inlineStr">
        <is>
          <t>材质类别
Classification By Material</t>
        </is>
      </c>
      <c r="E13" s="67" t="inlineStr">
        <is>
          <t>材质
Materials</t>
        </is>
      </c>
      <c r="F13" s="67" t="inlineStr">
        <is>
          <t>材质重量  Material Weight (mg)</t>
        </is>
      </c>
      <c r="G13" s="68" t="inlineStr">
        <is>
          <t>成份名称Substance Name</t>
        </is>
      </c>
      <c r="H13" s="68" t="inlineStr">
        <is>
          <t>CAS Number</t>
        </is>
      </c>
      <c r="I13" s="69" t="inlineStr">
        <is>
          <t>weight 成份重量(g)</t>
        </is>
      </c>
      <c r="J13" s="69" t="inlineStr">
        <is>
          <t>weight%成份重量%</t>
        </is>
      </c>
      <c r="K13" s="70" t="inlineStr">
        <is>
          <t>MSDS</t>
        </is>
      </c>
      <c r="L13" s="70" t="inlineStr">
        <is>
          <t>Reach报告</t>
        </is>
      </c>
      <c r="M13" s="60" t="inlineStr">
        <is>
          <t>Pb</t>
        </is>
      </c>
      <c r="N13" s="60" t="inlineStr">
        <is>
          <t>Cd</t>
        </is>
      </c>
      <c r="O13" s="60" t="inlineStr">
        <is>
          <t>Hg</t>
        </is>
      </c>
      <c r="P13" s="60" t="inlineStr">
        <is>
          <t>Cr6+</t>
        </is>
      </c>
      <c r="Q13" s="60" t="inlineStr">
        <is>
          <t>PBBs</t>
        </is>
      </c>
      <c r="R13" s="60" t="inlineStr">
        <is>
          <t>PBDEs</t>
        </is>
      </c>
      <c r="S13" s="60" t="inlineStr">
        <is>
          <t>DEHP</t>
        </is>
      </c>
      <c r="T13" s="60" t="inlineStr">
        <is>
          <t>DBP</t>
        </is>
      </c>
      <c r="U13" s="60" t="inlineStr">
        <is>
          <t>BBP</t>
        </is>
      </c>
      <c r="V13" s="60" t="inlineStr">
        <is>
          <t>DIBP</t>
        </is>
      </c>
      <c r="W13" s="67" t="inlineStr">
        <is>
          <t>检测报告日期
Date Of Test Report</t>
        </is>
      </c>
      <c r="X13" s="71" t="inlineStr">
        <is>
          <t>检测报告编号
No. Of Test Report</t>
        </is>
      </c>
      <c r="Y13" s="72" t="inlineStr">
        <is>
          <t>RoHs2.0报告</t>
        </is>
      </c>
      <c r="Z13" s="60" t="inlineStr">
        <is>
          <t>Br</t>
        </is>
      </c>
      <c r="AA13" s="60" t="inlineStr">
        <is>
          <t>Cl</t>
        </is>
      </c>
      <c r="AB13" s="60" t="inlineStr">
        <is>
          <t>是否符合 
Yes/No</t>
        </is>
      </c>
      <c r="AC13" s="67" t="inlineStr">
        <is>
          <t>是否为RoHS排外条款
Is It Exemption From RoHS</t>
        </is>
      </c>
      <c r="AD13" s="67" t="inlineStr">
        <is>
          <t>生久有害物质管制规范排除项次</t>
        </is>
      </c>
    </row>
    <row r="14" ht="29.25" customHeight="1" s="294">
      <c r="A14" s="83" t="n"/>
      <c r="B14" s="83" t="n"/>
      <c r="C14" s="83" t="n"/>
      <c r="D14" s="83" t="n"/>
      <c r="E14" s="50" t="n"/>
      <c r="F14" s="50" t="n"/>
      <c r="G14" s="74" t="n"/>
      <c r="H14" s="74" t="n"/>
      <c r="I14" s="50" t="n"/>
      <c r="J14" s="75" t="n"/>
      <c r="K14" s="50" t="n"/>
      <c r="L14" s="50" t="n"/>
      <c r="M14" s="50" t="n"/>
      <c r="N14" s="50" t="n"/>
      <c r="O14" s="50" t="n"/>
      <c r="P14" s="50" t="n"/>
      <c r="Q14" s="50" t="n"/>
      <c r="R14" s="50" t="n"/>
      <c r="S14" s="50" t="n"/>
      <c r="T14" s="50" t="n"/>
      <c r="U14" s="50" t="n"/>
      <c r="V14" s="50" t="n"/>
      <c r="W14" s="50" t="n"/>
      <c r="X14" s="50" t="n"/>
      <c r="Y14" s="50" t="n"/>
      <c r="Z14" s="50" t="n"/>
      <c r="AA14" s="50" t="n"/>
      <c r="AB14" s="50" t="n"/>
      <c r="AC14" s="50" t="n"/>
      <c r="AD14" s="50" t="n"/>
    </row>
    <row r="15" ht="29.25" customHeight="1" s="294">
      <c r="A15" s="315" t="n"/>
      <c r="B15" s="315" t="n"/>
      <c r="C15" s="315" t="n"/>
      <c r="D15" s="315" t="n"/>
      <c r="E15" s="315" t="n"/>
      <c r="F15" s="315" t="n"/>
      <c r="G15" s="74" t="n"/>
      <c r="H15" s="74" t="n"/>
      <c r="I15" s="315" t="n"/>
      <c r="J15" s="75" t="n"/>
      <c r="K15" s="315" t="n"/>
      <c r="L15" s="315" t="n"/>
      <c r="M15" s="315" t="n"/>
      <c r="N15" s="315" t="n"/>
      <c r="O15" s="315" t="n"/>
      <c r="P15" s="315" t="n"/>
      <c r="Q15" s="315" t="n"/>
      <c r="R15" s="315" t="n"/>
      <c r="S15" s="315" t="n"/>
      <c r="T15" s="315" t="n"/>
      <c r="U15" s="315" t="n"/>
      <c r="V15" s="315" t="n"/>
      <c r="W15" s="315" t="n"/>
      <c r="X15" s="315" t="n"/>
      <c r="Y15" s="315" t="n"/>
      <c r="Z15" s="315" t="n"/>
      <c r="AA15" s="315" t="n"/>
      <c r="AB15" s="315" t="n"/>
      <c r="AC15" s="315" t="n"/>
      <c r="AD15" s="315" t="n"/>
    </row>
    <row r="16" ht="29.25" customHeight="1" s="294">
      <c r="A16" s="315" t="n"/>
      <c r="B16" s="315" t="n"/>
      <c r="C16" s="315" t="n"/>
      <c r="D16" s="315" t="n"/>
      <c r="E16" s="315" t="n"/>
      <c r="F16" s="315" t="n"/>
      <c r="G16" s="74" t="n"/>
      <c r="H16" s="74" t="n"/>
      <c r="I16" s="315" t="n"/>
      <c r="J16" s="75" t="n"/>
      <c r="K16" s="315" t="n"/>
      <c r="L16" s="316" t="n"/>
      <c r="M16" s="316" t="n"/>
      <c r="N16" s="316" t="n"/>
      <c r="O16" s="316" t="n"/>
      <c r="P16" s="316" t="n"/>
      <c r="Q16" s="316" t="n"/>
      <c r="R16" s="316" t="n"/>
      <c r="S16" s="316" t="n"/>
      <c r="T16" s="316" t="n"/>
      <c r="U16" s="316" t="n"/>
      <c r="V16" s="316" t="n"/>
      <c r="W16" s="316" t="n"/>
      <c r="X16" s="316" t="n"/>
      <c r="Y16" s="316" t="n"/>
      <c r="Z16" s="316" t="n"/>
      <c r="AA16" s="316" t="n"/>
      <c r="AB16" s="316" t="n"/>
      <c r="AC16" s="316" t="n"/>
      <c r="AD16" s="316" t="n"/>
    </row>
    <row r="17" ht="29.25" customHeight="1" s="294">
      <c r="A17" s="315" t="n"/>
      <c r="B17" s="315" t="n"/>
      <c r="C17" s="315" t="n"/>
      <c r="D17" s="315" t="n"/>
      <c r="E17" s="315" t="n"/>
      <c r="F17" s="315" t="n"/>
      <c r="G17" s="74" t="n"/>
      <c r="H17" s="78" t="n"/>
      <c r="I17" s="315" t="n"/>
      <c r="J17" s="75" t="n"/>
      <c r="K17" s="315" t="n"/>
      <c r="L17" s="50" t="n"/>
      <c r="M17" s="50" t="n"/>
      <c r="N17" s="50" t="n"/>
      <c r="O17" s="50" t="n"/>
      <c r="P17" s="50" t="n"/>
      <c r="Q17" s="50" t="n"/>
      <c r="R17" s="50" t="n"/>
      <c r="S17" s="50" t="n"/>
      <c r="T17" s="50" t="n"/>
      <c r="U17" s="50" t="n"/>
      <c r="V17" s="50" t="n"/>
      <c r="W17" s="50" t="n"/>
      <c r="X17" s="50" t="n"/>
      <c r="Y17" s="50" t="n"/>
      <c r="Z17" s="50" t="n"/>
      <c r="AA17" s="50" t="n"/>
      <c r="AB17" s="50" t="n"/>
      <c r="AC17" s="50" t="n"/>
      <c r="AD17" s="50" t="n"/>
    </row>
    <row r="18" ht="29.25" customHeight="1" s="294">
      <c r="A18" s="315" t="n"/>
      <c r="B18" s="315" t="n"/>
      <c r="C18" s="315" t="n"/>
      <c r="D18" s="315" t="n"/>
      <c r="E18" s="315" t="n"/>
      <c r="F18" s="315" t="n"/>
      <c r="G18" s="74" t="n"/>
      <c r="H18" s="74" t="n"/>
      <c r="I18" s="315" t="n"/>
      <c r="J18" s="75" t="n"/>
      <c r="K18" s="315" t="n"/>
      <c r="L18" s="315" t="n"/>
      <c r="M18" s="315" t="n"/>
      <c r="N18" s="315" t="n"/>
      <c r="O18" s="315" t="n"/>
      <c r="P18" s="315" t="n"/>
      <c r="Q18" s="315" t="n"/>
      <c r="R18" s="315" t="n"/>
      <c r="S18" s="315" t="n"/>
      <c r="T18" s="315" t="n"/>
      <c r="U18" s="315" t="n"/>
      <c r="V18" s="315" t="n"/>
      <c r="W18" s="315" t="n"/>
      <c r="X18" s="315" t="n"/>
      <c r="Y18" s="315" t="n"/>
      <c r="Z18" s="315" t="n"/>
      <c r="AA18" s="315" t="n"/>
      <c r="AB18" s="315" t="n"/>
      <c r="AC18" s="315" t="n"/>
      <c r="AD18" s="315" t="n"/>
    </row>
    <row r="19" ht="29.25" customHeight="1" s="294">
      <c r="A19" s="315" t="n"/>
      <c r="B19" s="315" t="n"/>
      <c r="C19" s="315" t="n"/>
      <c r="D19" s="315" t="n"/>
      <c r="E19" s="316" t="n"/>
      <c r="F19" s="315" t="n"/>
      <c r="G19" s="79" t="n"/>
      <c r="H19" s="74" t="n"/>
      <c r="I19" s="316" t="n"/>
      <c r="J19" s="75" t="n"/>
      <c r="K19" s="316" t="n"/>
      <c r="L19" s="316" t="n"/>
      <c r="M19" s="316" t="n"/>
      <c r="N19" s="316" t="n"/>
      <c r="O19" s="316" t="n"/>
      <c r="P19" s="316" t="n"/>
      <c r="Q19" s="316" t="n"/>
      <c r="R19" s="316" t="n"/>
      <c r="S19" s="316" t="n"/>
      <c r="T19" s="316" t="n"/>
      <c r="U19" s="316" t="n"/>
      <c r="V19" s="316" t="n"/>
      <c r="W19" s="316" t="n"/>
      <c r="X19" s="316" t="n"/>
      <c r="Y19" s="316" t="n"/>
      <c r="Z19" s="316" t="n"/>
      <c r="AA19" s="316" t="n"/>
      <c r="AB19" s="316" t="n"/>
      <c r="AC19" s="316" t="n"/>
      <c r="AD19" s="316" t="n"/>
    </row>
    <row r="20" ht="21.75" customHeight="1" s="294">
      <c r="A20" s="315" t="n"/>
      <c r="B20" s="315" t="n"/>
      <c r="C20" s="315" t="n"/>
      <c r="D20" s="315" t="n"/>
      <c r="E20" s="80" t="n"/>
      <c r="F20" s="315" t="n"/>
      <c r="G20" s="81" t="n"/>
      <c r="H20" s="94" t="n"/>
      <c r="I20" s="50" t="n"/>
      <c r="J20" s="99" t="n"/>
      <c r="K20" s="50" t="n"/>
      <c r="L20" s="50" t="n"/>
      <c r="M20" s="50" t="n"/>
      <c r="N20" s="50" t="n"/>
      <c r="O20" s="50" t="n"/>
      <c r="P20" s="50" t="n"/>
      <c r="Q20" s="50" t="n"/>
      <c r="R20" s="50" t="n"/>
      <c r="S20" s="50" t="n"/>
      <c r="T20" s="50" t="n"/>
      <c r="U20" s="50" t="n"/>
      <c r="V20" s="50" t="n"/>
      <c r="W20" s="346" t="n"/>
      <c r="X20" s="94" t="n"/>
      <c r="Y20" s="50" t="n"/>
      <c r="Z20" s="50" t="n"/>
      <c r="AA20" s="50" t="n"/>
      <c r="AB20" s="50" t="n"/>
      <c r="AC20" s="50" t="n"/>
      <c r="AD20" s="50" t="n"/>
    </row>
    <row r="21" ht="21.75" customHeight="1" s="294">
      <c r="A21" s="315" t="n"/>
      <c r="B21" s="315" t="n"/>
      <c r="C21" s="315" t="n"/>
      <c r="D21" s="315" t="n"/>
      <c r="E21" s="319" t="n"/>
      <c r="F21" s="315" t="n"/>
      <c r="G21" s="81" t="n"/>
      <c r="H21" s="94" t="n"/>
      <c r="I21" s="315" t="n"/>
      <c r="J21" s="99" t="n"/>
      <c r="K21" s="315" t="n"/>
      <c r="L21" s="315" t="n"/>
      <c r="M21" s="315" t="n"/>
      <c r="N21" s="315" t="n"/>
      <c r="O21" s="315" t="n"/>
      <c r="P21" s="315" t="n"/>
      <c r="Q21" s="315" t="n"/>
      <c r="R21" s="315" t="n"/>
      <c r="S21" s="315" t="n"/>
      <c r="T21" s="315" t="n"/>
      <c r="U21" s="315" t="n"/>
      <c r="V21" s="315" t="n"/>
      <c r="W21" s="315" t="n"/>
      <c r="X21" s="315" t="n"/>
      <c r="Y21" s="315" t="n"/>
      <c r="Z21" s="315" t="n"/>
      <c r="AA21" s="315" t="n"/>
      <c r="AB21" s="315" t="n"/>
      <c r="AC21" s="315" t="n"/>
      <c r="AD21" s="315" t="n"/>
    </row>
    <row r="22" ht="21.75" customHeight="1" s="294">
      <c r="A22" s="315" t="n"/>
      <c r="B22" s="315" t="n"/>
      <c r="C22" s="315" t="n"/>
      <c r="D22" s="315" t="n"/>
      <c r="E22" s="321" t="n"/>
      <c r="F22" s="315" t="n"/>
      <c r="G22" s="81" t="n"/>
      <c r="H22" s="94" t="n"/>
      <c r="I22" s="316" t="n"/>
      <c r="J22" s="99" t="n"/>
      <c r="K22" s="316" t="n"/>
      <c r="L22" s="316" t="n"/>
      <c r="M22" s="316" t="n"/>
      <c r="N22" s="316" t="n"/>
      <c r="O22" s="316" t="n"/>
      <c r="P22" s="316" t="n"/>
      <c r="Q22" s="316" t="n"/>
      <c r="R22" s="316" t="n"/>
      <c r="S22" s="316" t="n"/>
      <c r="T22" s="316" t="n"/>
      <c r="U22" s="316" t="n"/>
      <c r="V22" s="316" t="n"/>
      <c r="W22" s="316" t="n"/>
      <c r="X22" s="316" t="n"/>
      <c r="Y22" s="316" t="n"/>
      <c r="Z22" s="316" t="n"/>
      <c r="AA22" s="316" t="n"/>
      <c r="AB22" s="316" t="n"/>
      <c r="AC22" s="316" t="n"/>
      <c r="AD22" s="316" t="n"/>
    </row>
    <row r="23" ht="18" customHeight="1" s="294">
      <c r="A23" s="315" t="n"/>
      <c r="B23" s="315" t="n"/>
      <c r="C23" s="315" t="n"/>
      <c r="D23" s="315" t="n"/>
      <c r="E23" s="50" t="n"/>
      <c r="F23" s="315" t="n"/>
      <c r="G23" s="93" t="n"/>
      <c r="H23" s="94" t="n"/>
      <c r="I23" s="50" t="n"/>
      <c r="J23" s="95" t="n"/>
      <c r="K23" s="50" t="n"/>
      <c r="L23" s="50" t="n"/>
      <c r="M23" s="50" t="n"/>
      <c r="N23" s="50" t="n"/>
      <c r="O23" s="50" t="n"/>
      <c r="P23" s="50" t="n"/>
      <c r="Q23" s="50" t="n"/>
      <c r="R23" s="50" t="n"/>
      <c r="S23" s="50" t="n"/>
      <c r="T23" s="50" t="n"/>
      <c r="U23" s="50" t="n"/>
      <c r="V23" s="50" t="n"/>
      <c r="W23" s="50" t="n"/>
      <c r="X23" s="94" t="n"/>
      <c r="Y23" s="50" t="n"/>
      <c r="Z23" s="50" t="n"/>
      <c r="AA23" s="50" t="n"/>
      <c r="AB23" s="50" t="n"/>
      <c r="AC23" s="50" t="n"/>
      <c r="AD23" s="50" t="n"/>
    </row>
    <row r="24" ht="18" customHeight="1" s="294">
      <c r="A24" s="315" t="n"/>
      <c r="B24" s="315" t="n"/>
      <c r="C24" s="315" t="n"/>
      <c r="D24" s="315" t="n"/>
      <c r="E24" s="315" t="n"/>
      <c r="F24" s="315" t="n"/>
      <c r="G24" s="93" t="n"/>
      <c r="H24" s="94" t="n"/>
      <c r="I24" s="315" t="n"/>
      <c r="J24" s="95" t="n"/>
      <c r="K24" s="315" t="n"/>
      <c r="L24" s="315" t="n"/>
      <c r="M24" s="315" t="n"/>
      <c r="N24" s="315" t="n"/>
      <c r="O24" s="315" t="n"/>
      <c r="P24" s="315" t="n"/>
      <c r="Q24" s="315" t="n"/>
      <c r="R24" s="315" t="n"/>
      <c r="S24" s="315" t="n"/>
      <c r="T24" s="315" t="n"/>
      <c r="U24" s="315" t="n"/>
      <c r="V24" s="315" t="n"/>
      <c r="W24" s="315" t="n"/>
      <c r="X24" s="315" t="n"/>
      <c r="Y24" s="315" t="n"/>
      <c r="Z24" s="315" t="n"/>
      <c r="AA24" s="315" t="n"/>
      <c r="AB24" s="315" t="n"/>
      <c r="AC24" s="315" t="n"/>
      <c r="AD24" s="315" t="n"/>
    </row>
    <row r="25" ht="18" customHeight="1" s="294">
      <c r="A25" s="315" t="n"/>
      <c r="B25" s="315" t="n"/>
      <c r="C25" s="315" t="n"/>
      <c r="D25" s="315" t="n"/>
      <c r="E25" s="315" t="n"/>
      <c r="F25" s="315" t="n"/>
      <c r="G25" s="93" t="n"/>
      <c r="H25" s="94" t="n"/>
      <c r="I25" s="315" t="n"/>
      <c r="J25" s="95" t="n"/>
      <c r="K25" s="315" t="n"/>
      <c r="L25" s="315" t="n"/>
      <c r="M25" s="315" t="n"/>
      <c r="N25" s="315" t="n"/>
      <c r="O25" s="315" t="n"/>
      <c r="P25" s="315" t="n"/>
      <c r="Q25" s="315" t="n"/>
      <c r="R25" s="315" t="n"/>
      <c r="S25" s="315" t="n"/>
      <c r="T25" s="315" t="n"/>
      <c r="U25" s="315" t="n"/>
      <c r="V25" s="315" t="n"/>
      <c r="W25" s="315" t="n"/>
      <c r="X25" s="315" t="n"/>
      <c r="Y25" s="315" t="n"/>
      <c r="Z25" s="315" t="n"/>
      <c r="AA25" s="315" t="n"/>
      <c r="AB25" s="315" t="n"/>
      <c r="AC25" s="315" t="n"/>
      <c r="AD25" s="315" t="n"/>
    </row>
    <row r="26" ht="18" customHeight="1" s="294">
      <c r="A26" s="315" t="n"/>
      <c r="B26" s="315" t="n"/>
      <c r="C26" s="315" t="n"/>
      <c r="D26" s="315" t="n"/>
      <c r="E26" s="316" t="n"/>
      <c r="F26" s="315" t="n"/>
      <c r="G26" s="93" t="n"/>
      <c r="H26" s="94" t="n"/>
      <c r="I26" s="316" t="n"/>
      <c r="J26" s="95" t="n"/>
      <c r="K26" s="316" t="n"/>
      <c r="L26" s="315" t="n"/>
      <c r="M26" s="316" t="n"/>
      <c r="N26" s="316" t="n"/>
      <c r="O26" s="316" t="n"/>
      <c r="P26" s="316" t="n"/>
      <c r="Q26" s="316" t="n"/>
      <c r="R26" s="316" t="n"/>
      <c r="S26" s="316" t="n"/>
      <c r="T26" s="316" t="n"/>
      <c r="U26" s="316" t="n"/>
      <c r="V26" s="316" t="n"/>
      <c r="W26" s="316" t="n"/>
      <c r="X26" s="316" t="n"/>
      <c r="Y26" s="316" t="n"/>
      <c r="Z26" s="316" t="n"/>
      <c r="AA26" s="316" t="n"/>
      <c r="AB26" s="316" t="n"/>
      <c r="AC26" s="316" t="n"/>
      <c r="AD26" s="316" t="n"/>
    </row>
    <row r="27" ht="18" customHeight="1" s="294">
      <c r="A27" s="315" t="n"/>
      <c r="B27" s="315" t="n"/>
      <c r="C27" s="315" t="n"/>
      <c r="D27" s="315" t="n"/>
      <c r="E27" s="80" t="n"/>
      <c r="F27" s="315" t="n"/>
      <c r="G27" s="93" t="n"/>
      <c r="H27" s="94" t="n"/>
      <c r="I27" s="50" t="n"/>
      <c r="J27" s="95" t="n"/>
      <c r="K27" s="50" t="n"/>
      <c r="L27" s="315" t="n"/>
      <c r="M27" s="50" t="n"/>
      <c r="N27" s="50" t="n"/>
      <c r="O27" s="50" t="n"/>
      <c r="P27" s="50" t="n"/>
      <c r="Q27" s="50" t="n"/>
      <c r="R27" s="50" t="n"/>
      <c r="S27" s="50" t="n"/>
      <c r="T27" s="50" t="n"/>
      <c r="U27" s="50" t="n"/>
      <c r="V27" s="50" t="n"/>
      <c r="W27" s="50" t="n"/>
      <c r="X27" s="94" t="n"/>
      <c r="Y27" s="50" t="n"/>
      <c r="Z27" s="50" t="n"/>
      <c r="AA27" s="50" t="n"/>
      <c r="AB27" s="50" t="n"/>
      <c r="AC27" s="50" t="n"/>
      <c r="AD27" s="50" t="n"/>
    </row>
    <row r="28" ht="18" customHeight="1" s="294">
      <c r="A28" s="315" t="n"/>
      <c r="B28" s="315" t="n"/>
      <c r="C28" s="315" t="n"/>
      <c r="D28" s="315" t="n"/>
      <c r="E28" s="319" t="n"/>
      <c r="F28" s="315" t="n"/>
      <c r="G28" s="93" t="n"/>
      <c r="H28" s="94" t="n"/>
      <c r="I28" s="315" t="n"/>
      <c r="J28" s="95" t="n"/>
      <c r="K28" s="315" t="n"/>
      <c r="L28" s="315" t="n"/>
      <c r="M28" s="315" t="n"/>
      <c r="N28" s="315" t="n"/>
      <c r="O28" s="315" t="n"/>
      <c r="P28" s="315" t="n"/>
      <c r="Q28" s="315" t="n"/>
      <c r="R28" s="315" t="n"/>
      <c r="S28" s="315" t="n"/>
      <c r="T28" s="315" t="n"/>
      <c r="U28" s="315" t="n"/>
      <c r="V28" s="315" t="n"/>
      <c r="W28" s="315" t="n"/>
      <c r="X28" s="315" t="n"/>
      <c r="Y28" s="315" t="n"/>
      <c r="Z28" s="315" t="n"/>
      <c r="AA28" s="315" t="n"/>
      <c r="AB28" s="315" t="n"/>
      <c r="AC28" s="315" t="n"/>
      <c r="AD28" s="315" t="n"/>
    </row>
    <row r="29" ht="18" customHeight="1" s="294">
      <c r="A29" s="315" t="n"/>
      <c r="B29" s="315" t="n"/>
      <c r="C29" s="315" t="n"/>
      <c r="D29" s="315" t="n"/>
      <c r="E29" s="319" t="n"/>
      <c r="F29" s="315" t="n"/>
      <c r="G29" s="93" t="n"/>
      <c r="H29" s="94" t="n"/>
      <c r="I29" s="315" t="n"/>
      <c r="J29" s="95" t="n"/>
      <c r="K29" s="315" t="n"/>
      <c r="L29" s="315" t="n"/>
      <c r="M29" s="315" t="n"/>
      <c r="N29" s="315" t="n"/>
      <c r="O29" s="315" t="n"/>
      <c r="P29" s="315" t="n"/>
      <c r="Q29" s="315" t="n"/>
      <c r="R29" s="315" t="n"/>
      <c r="S29" s="315" t="n"/>
      <c r="T29" s="315" t="n"/>
      <c r="U29" s="315" t="n"/>
      <c r="V29" s="315" t="n"/>
      <c r="W29" s="315" t="n"/>
      <c r="X29" s="315" t="n"/>
      <c r="Y29" s="315" t="n"/>
      <c r="Z29" s="315" t="n"/>
      <c r="AA29" s="315" t="n"/>
      <c r="AB29" s="315" t="n"/>
      <c r="AC29" s="315" t="n"/>
      <c r="AD29" s="315" t="n"/>
    </row>
    <row r="30" ht="18" customHeight="1" s="294">
      <c r="A30" s="315" t="n"/>
      <c r="B30" s="315" t="n"/>
      <c r="C30" s="315" t="n"/>
      <c r="D30" s="315" t="n"/>
      <c r="E30" s="321" t="n"/>
      <c r="F30" s="315" t="n"/>
      <c r="G30" s="93" t="n"/>
      <c r="H30" s="94" t="n"/>
      <c r="I30" s="316" t="n"/>
      <c r="J30" s="95" t="n"/>
      <c r="K30" s="316" t="n"/>
      <c r="L30" s="316" t="n"/>
      <c r="M30" s="316" t="n"/>
      <c r="N30" s="316" t="n"/>
      <c r="O30" s="316" t="n"/>
      <c r="P30" s="316" t="n"/>
      <c r="Q30" s="316" t="n"/>
      <c r="R30" s="316" t="n"/>
      <c r="S30" s="316" t="n"/>
      <c r="T30" s="316" t="n"/>
      <c r="U30" s="316" t="n"/>
      <c r="V30" s="316" t="n"/>
      <c r="W30" s="316" t="n"/>
      <c r="X30" s="316" t="n"/>
      <c r="Y30" s="316" t="n"/>
      <c r="Z30" s="316" t="n"/>
      <c r="AA30" s="316" t="n"/>
      <c r="AB30" s="316" t="n"/>
      <c r="AC30" s="316" t="n"/>
      <c r="AD30" s="316" t="n"/>
    </row>
    <row r="31" ht="23.25" customHeight="1" s="294">
      <c r="A31" s="83" t="n"/>
      <c r="B31" s="50" t="n"/>
      <c r="C31" s="50" t="n"/>
      <c r="D31" s="50" t="n"/>
      <c r="E31" s="50" t="n"/>
      <c r="F31" s="315" t="n"/>
      <c r="G31" s="93" t="n"/>
      <c r="H31" s="94" t="n"/>
      <c r="I31" s="50" t="n"/>
      <c r="J31" s="99" t="n"/>
      <c r="K31" s="50" t="n"/>
      <c r="L31" s="50" t="n"/>
      <c r="M31" s="50" t="n"/>
      <c r="N31" s="50" t="n"/>
      <c r="O31" s="50" t="n"/>
      <c r="P31" s="50" t="n"/>
      <c r="Q31" s="50" t="n"/>
      <c r="R31" s="50" t="n"/>
      <c r="S31" s="83" t="n"/>
      <c r="T31" s="83" t="n"/>
      <c r="U31" s="83" t="n"/>
      <c r="V31" s="83" t="n"/>
      <c r="W31" s="347" t="n"/>
      <c r="X31" s="66" t="n"/>
      <c r="Y31" s="50" t="n"/>
      <c r="Z31" s="50" t="n"/>
      <c r="AA31" s="50" t="n"/>
      <c r="AB31" s="50" t="n"/>
      <c r="AC31" s="50" t="n"/>
      <c r="AD31" s="50" t="n"/>
    </row>
    <row r="32" ht="23.25" customHeight="1" s="294">
      <c r="A32" s="315" t="n"/>
      <c r="B32" s="315" t="n"/>
      <c r="C32" s="315" t="n"/>
      <c r="D32" s="316" t="n"/>
      <c r="E32" s="316" t="n"/>
      <c r="F32" s="315" t="n"/>
      <c r="G32" s="102" t="n"/>
      <c r="H32" s="103" t="n"/>
      <c r="I32" s="316" t="n"/>
      <c r="J32" s="99" t="n"/>
      <c r="K32" s="316" t="n"/>
      <c r="L32" s="316" t="n"/>
      <c r="M32" s="316" t="n"/>
      <c r="N32" s="316" t="n"/>
      <c r="O32" s="316" t="n"/>
      <c r="P32" s="316" t="n"/>
      <c r="Q32" s="316" t="n"/>
      <c r="R32" s="316" t="n"/>
      <c r="S32" s="315" t="n"/>
      <c r="T32" s="315" t="n"/>
      <c r="U32" s="315" t="n"/>
      <c r="V32" s="315" t="n"/>
      <c r="W32" s="316" t="n"/>
      <c r="X32" s="316" t="n"/>
      <c r="Y32" s="316" t="n"/>
      <c r="Z32" s="316" t="n"/>
      <c r="AA32" s="316" t="n"/>
      <c r="AB32" s="316" t="n"/>
      <c r="AC32" s="316" t="n"/>
      <c r="AD32" s="316" t="n"/>
    </row>
    <row r="33" ht="18" customHeight="1" s="294">
      <c r="A33" s="315" t="n"/>
      <c r="B33" s="315" t="n"/>
      <c r="C33" s="315" t="n"/>
      <c r="D33" s="50" t="n"/>
      <c r="E33" s="80" t="n"/>
      <c r="F33" s="315" t="n"/>
      <c r="G33" s="93" t="n"/>
      <c r="H33" s="74" t="n"/>
      <c r="I33" s="50" t="n"/>
      <c r="J33" s="99" t="n"/>
      <c r="K33" s="87" t="n"/>
      <c r="L33" s="50" t="n"/>
      <c r="M33" s="50" t="n"/>
      <c r="N33" s="50" t="n"/>
      <c r="O33" s="50" t="n"/>
      <c r="P33" s="50" t="n"/>
      <c r="Q33" s="50" t="n"/>
      <c r="R33" s="50" t="n"/>
      <c r="S33" s="50" t="n"/>
      <c r="T33" s="50" t="n"/>
      <c r="U33" s="50" t="n"/>
      <c r="V33" s="50" t="n"/>
      <c r="W33" s="50" t="n"/>
      <c r="X33" s="94" t="n"/>
      <c r="Y33" s="50" t="n"/>
      <c r="Z33" s="50" t="n"/>
      <c r="AA33" s="50" t="n"/>
      <c r="AB33" s="50" t="n"/>
      <c r="AC33" s="50" t="n"/>
      <c r="AD33" s="50" t="n"/>
    </row>
    <row r="34" ht="18" customHeight="1" s="294">
      <c r="A34" s="315" t="n"/>
      <c r="B34" s="315" t="n"/>
      <c r="C34" s="315" t="n"/>
      <c r="D34" s="315" t="n"/>
      <c r="E34" s="319" t="n"/>
      <c r="F34" s="315" t="n"/>
      <c r="G34" s="93" t="n"/>
      <c r="H34" s="74" t="n"/>
      <c r="I34" s="315" t="n"/>
      <c r="J34" s="99" t="n"/>
      <c r="K34" s="315" t="n"/>
      <c r="L34" s="315" t="n"/>
      <c r="M34" s="315" t="n"/>
      <c r="N34" s="315" t="n"/>
      <c r="O34" s="315" t="n"/>
      <c r="P34" s="315" t="n"/>
      <c r="Q34" s="315" t="n"/>
      <c r="R34" s="315" t="n"/>
      <c r="S34" s="315" t="n"/>
      <c r="T34" s="315" t="n"/>
      <c r="U34" s="315" t="n"/>
      <c r="V34" s="315" t="n"/>
      <c r="W34" s="315" t="n"/>
      <c r="X34" s="315" t="n"/>
      <c r="Y34" s="315" t="n"/>
      <c r="Z34" s="315" t="n"/>
      <c r="AA34" s="315" t="n"/>
      <c r="AB34" s="315" t="n"/>
      <c r="AC34" s="315" t="n"/>
      <c r="AD34" s="315" t="n"/>
    </row>
    <row r="35" ht="18" customHeight="1" s="294">
      <c r="A35" s="315" t="n"/>
      <c r="B35" s="315" t="n"/>
      <c r="C35" s="315" t="n"/>
      <c r="D35" s="315" t="n"/>
      <c r="E35" s="319" t="n"/>
      <c r="F35" s="315" t="n"/>
      <c r="G35" s="93" t="n"/>
      <c r="H35" s="74" t="n"/>
      <c r="I35" s="315" t="n"/>
      <c r="J35" s="99" t="n"/>
      <c r="K35" s="315" t="n"/>
      <c r="L35" s="315" t="n"/>
      <c r="M35" s="315" t="n"/>
      <c r="N35" s="315" t="n"/>
      <c r="O35" s="315" t="n"/>
      <c r="P35" s="315" t="n"/>
      <c r="Q35" s="315" t="n"/>
      <c r="R35" s="315" t="n"/>
      <c r="S35" s="315" t="n"/>
      <c r="T35" s="315" t="n"/>
      <c r="U35" s="315" t="n"/>
      <c r="V35" s="315" t="n"/>
      <c r="W35" s="315" t="n"/>
      <c r="X35" s="315" t="n"/>
      <c r="Y35" s="315" t="n"/>
      <c r="Z35" s="315" t="n"/>
      <c r="AA35" s="315" t="n"/>
      <c r="AB35" s="315" t="n"/>
      <c r="AC35" s="315" t="n"/>
      <c r="AD35" s="315" t="n"/>
    </row>
    <row r="36" ht="18" customHeight="1" s="294">
      <c r="A36" s="315" t="n"/>
      <c r="B36" s="315" t="n"/>
      <c r="C36" s="315" t="n"/>
      <c r="D36" s="315" t="n"/>
      <c r="E36" s="319" t="n"/>
      <c r="F36" s="315" t="n"/>
      <c r="G36" s="93" t="n"/>
      <c r="H36" s="74" t="n"/>
      <c r="I36" s="315" t="n"/>
      <c r="J36" s="99" t="n"/>
      <c r="K36" s="315" t="n"/>
      <c r="L36" s="315" t="n"/>
      <c r="M36" s="315" t="n"/>
      <c r="N36" s="315" t="n"/>
      <c r="O36" s="315" t="n"/>
      <c r="P36" s="315" t="n"/>
      <c r="Q36" s="315" t="n"/>
      <c r="R36" s="315" t="n"/>
      <c r="S36" s="315" t="n"/>
      <c r="T36" s="315" t="n"/>
      <c r="U36" s="315" t="n"/>
      <c r="V36" s="315" t="n"/>
      <c r="W36" s="315" t="n"/>
      <c r="X36" s="315" t="n"/>
      <c r="Y36" s="315" t="n"/>
      <c r="Z36" s="315" t="n"/>
      <c r="AA36" s="315" t="n"/>
      <c r="AB36" s="315" t="n"/>
      <c r="AC36" s="315" t="n"/>
      <c r="AD36" s="315" t="n"/>
    </row>
    <row r="37" ht="18" customHeight="1" s="294">
      <c r="A37" s="315" t="n"/>
      <c r="B37" s="315" t="n"/>
      <c r="C37" s="315" t="n"/>
      <c r="D37" s="315" t="n"/>
      <c r="E37" s="319" t="n"/>
      <c r="F37" s="315" t="n"/>
      <c r="G37" s="93" t="n"/>
      <c r="H37" s="74" t="n"/>
      <c r="I37" s="315" t="n"/>
      <c r="J37" s="99" t="n"/>
      <c r="K37" s="315" t="n"/>
      <c r="L37" s="315" t="n"/>
      <c r="M37" s="315" t="n"/>
      <c r="N37" s="315" t="n"/>
      <c r="O37" s="315" t="n"/>
      <c r="P37" s="315" t="n"/>
      <c r="Q37" s="315" t="n"/>
      <c r="R37" s="315" t="n"/>
      <c r="S37" s="315" t="n"/>
      <c r="T37" s="315" t="n"/>
      <c r="U37" s="315" t="n"/>
      <c r="V37" s="315" t="n"/>
      <c r="W37" s="315" t="n"/>
      <c r="X37" s="315" t="n"/>
      <c r="Y37" s="315" t="n"/>
      <c r="Z37" s="315" t="n"/>
      <c r="AA37" s="315" t="n"/>
      <c r="AB37" s="315" t="n"/>
      <c r="AC37" s="315" t="n"/>
      <c r="AD37" s="315" t="n"/>
    </row>
    <row r="38" ht="18" customHeight="1" s="294">
      <c r="A38" s="315" t="n"/>
      <c r="B38" s="315" t="n"/>
      <c r="C38" s="315" t="n"/>
      <c r="D38" s="315" t="n"/>
      <c r="E38" s="319" t="n"/>
      <c r="F38" s="315" t="n"/>
      <c r="G38" s="93" t="n"/>
      <c r="H38" s="74" t="n"/>
      <c r="I38" s="315" t="n"/>
      <c r="J38" s="99" t="n"/>
      <c r="K38" s="315" t="n"/>
      <c r="L38" s="315" t="n"/>
      <c r="M38" s="315" t="n"/>
      <c r="N38" s="315" t="n"/>
      <c r="O38" s="315" t="n"/>
      <c r="P38" s="315" t="n"/>
      <c r="Q38" s="315" t="n"/>
      <c r="R38" s="315" t="n"/>
      <c r="S38" s="315" t="n"/>
      <c r="T38" s="315" t="n"/>
      <c r="U38" s="315" t="n"/>
      <c r="V38" s="315" t="n"/>
      <c r="W38" s="315" t="n"/>
      <c r="X38" s="315" t="n"/>
      <c r="Y38" s="315" t="n"/>
      <c r="Z38" s="315" t="n"/>
      <c r="AA38" s="315" t="n"/>
      <c r="AB38" s="315" t="n"/>
      <c r="AC38" s="315" t="n"/>
      <c r="AD38" s="315" t="n"/>
    </row>
    <row r="39" ht="18" customHeight="1" s="294">
      <c r="A39" s="315" t="n"/>
      <c r="B39" s="315" t="n"/>
      <c r="C39" s="315" t="n"/>
      <c r="D39" s="315" t="n"/>
      <c r="E39" s="319" t="n"/>
      <c r="F39" s="315" t="n"/>
      <c r="G39" s="93" t="n"/>
      <c r="H39" s="74" t="n"/>
      <c r="I39" s="315" t="n"/>
      <c r="J39" s="99" t="n"/>
      <c r="K39" s="315" t="n"/>
      <c r="L39" s="315" t="n"/>
      <c r="M39" s="315" t="n"/>
      <c r="N39" s="315" t="n"/>
      <c r="O39" s="315" t="n"/>
      <c r="P39" s="315" t="n"/>
      <c r="Q39" s="315" t="n"/>
      <c r="R39" s="315" t="n"/>
      <c r="S39" s="315" t="n"/>
      <c r="T39" s="315" t="n"/>
      <c r="U39" s="315" t="n"/>
      <c r="V39" s="315" t="n"/>
      <c r="W39" s="315" t="n"/>
      <c r="X39" s="315" t="n"/>
      <c r="Y39" s="315" t="n"/>
      <c r="Z39" s="315" t="n"/>
      <c r="AA39" s="315" t="n"/>
      <c r="AB39" s="315" t="n"/>
      <c r="AC39" s="315" t="n"/>
      <c r="AD39" s="315" t="n"/>
    </row>
    <row r="40" ht="18" customHeight="1" s="294">
      <c r="A40" s="315" t="n"/>
      <c r="B40" s="316" t="n"/>
      <c r="C40" s="316" t="n"/>
      <c r="D40" s="316" t="n"/>
      <c r="E40" s="321" t="n"/>
      <c r="F40" s="315" t="n"/>
      <c r="G40" s="93" t="n"/>
      <c r="H40" s="74" t="n"/>
      <c r="I40" s="316" t="n"/>
      <c r="J40" s="99" t="n"/>
      <c r="K40" s="315" t="n"/>
      <c r="L40" s="316" t="n"/>
      <c r="M40" s="316" t="n"/>
      <c r="N40" s="316" t="n"/>
      <c r="O40" s="316" t="n"/>
      <c r="P40" s="316" t="n"/>
      <c r="Q40" s="316" t="n"/>
      <c r="R40" s="316" t="n"/>
      <c r="S40" s="316" t="n"/>
      <c r="T40" s="316" t="n"/>
      <c r="U40" s="316" t="n"/>
      <c r="V40" s="316" t="n"/>
      <c r="W40" s="316" t="n"/>
      <c r="X40" s="316" t="n"/>
      <c r="Y40" s="316" t="n"/>
      <c r="Z40" s="316" t="n"/>
      <c r="AA40" s="316" t="n"/>
      <c r="AB40" s="316" t="n"/>
      <c r="AC40" s="316" t="n"/>
      <c r="AD40" s="316" t="n"/>
    </row>
    <row r="41" ht="18" customHeight="1" s="294">
      <c r="A41" s="50" t="n"/>
      <c r="B41" s="50" t="n"/>
      <c r="C41" s="50" t="n"/>
      <c r="D41" s="50" t="n"/>
      <c r="E41" s="50" t="n"/>
      <c r="F41" s="315" t="n"/>
      <c r="G41" s="74" t="n"/>
      <c r="H41" s="74" t="n"/>
      <c r="I41" s="50" t="n"/>
      <c r="J41" s="99" t="n"/>
      <c r="K41" s="50" t="n"/>
      <c r="L41" s="50" t="n"/>
      <c r="M41" s="50" t="n"/>
      <c r="N41" s="50" t="n"/>
      <c r="O41" s="50" t="n"/>
      <c r="P41" s="50" t="n"/>
      <c r="Q41" s="50" t="n"/>
      <c r="R41" s="50" t="n"/>
      <c r="S41" s="50" t="n"/>
      <c r="T41" s="50" t="n"/>
      <c r="U41" s="50" t="n"/>
      <c r="V41" s="50" t="n"/>
      <c r="W41" s="50" t="n"/>
      <c r="X41" s="94" t="n"/>
      <c r="Y41" s="50" t="n"/>
      <c r="Z41" s="50" t="n"/>
      <c r="AA41" s="50" t="n"/>
      <c r="AB41" s="50" t="n"/>
      <c r="AC41" s="50" t="n"/>
      <c r="AD41" s="50" t="n"/>
    </row>
    <row r="42" ht="18" customHeight="1" s="294">
      <c r="A42" s="315" t="n"/>
      <c r="B42" s="315" t="n"/>
      <c r="C42" s="315" t="n"/>
      <c r="D42" s="315" t="n"/>
      <c r="E42" s="315" t="n"/>
      <c r="F42" s="315" t="n"/>
      <c r="G42" s="74" t="n"/>
      <c r="H42" s="74" t="n"/>
      <c r="I42" s="50" t="n"/>
      <c r="J42" s="99" t="n"/>
      <c r="K42" s="315" t="n"/>
      <c r="L42" s="315" t="n"/>
      <c r="M42" s="315" t="n"/>
      <c r="N42" s="315" t="n"/>
      <c r="O42" s="315" t="n"/>
      <c r="P42" s="315" t="n"/>
      <c r="Q42" s="315" t="n"/>
      <c r="R42" s="315" t="n"/>
      <c r="S42" s="315" t="n"/>
      <c r="T42" s="315" t="n"/>
      <c r="U42" s="315" t="n"/>
      <c r="V42" s="315" t="n"/>
      <c r="W42" s="315" t="n"/>
      <c r="X42" s="315" t="n"/>
      <c r="Y42" s="315" t="n"/>
      <c r="Z42" s="315" t="n"/>
      <c r="AA42" s="315" t="n"/>
      <c r="AB42" s="315" t="n"/>
      <c r="AC42" s="315" t="n"/>
      <c r="AD42" s="315" t="n"/>
    </row>
    <row r="43" ht="18" customHeight="1" s="294">
      <c r="A43" s="315" t="n"/>
      <c r="B43" s="315" t="n"/>
      <c r="C43" s="315" t="n"/>
      <c r="D43" s="315" t="n"/>
      <c r="E43" s="315" t="n"/>
      <c r="F43" s="315" t="n"/>
      <c r="G43" s="74" t="n"/>
      <c r="H43" s="74" t="n"/>
      <c r="I43" s="50" t="n"/>
      <c r="J43" s="99" t="n"/>
      <c r="K43" s="315" t="n"/>
      <c r="L43" s="315" t="n"/>
      <c r="M43" s="315" t="n"/>
      <c r="N43" s="315" t="n"/>
      <c r="O43" s="315" t="n"/>
      <c r="P43" s="315" t="n"/>
      <c r="Q43" s="315" t="n"/>
      <c r="R43" s="315" t="n"/>
      <c r="S43" s="315" t="n"/>
      <c r="T43" s="315" t="n"/>
      <c r="U43" s="315" t="n"/>
      <c r="V43" s="315" t="n"/>
      <c r="W43" s="315" t="n"/>
      <c r="X43" s="315" t="n"/>
      <c r="Y43" s="315" t="n"/>
      <c r="Z43" s="315" t="n"/>
      <c r="AA43" s="315" t="n"/>
      <c r="AB43" s="315" t="n"/>
      <c r="AC43" s="315" t="n"/>
      <c r="AD43" s="315" t="n"/>
    </row>
    <row r="44" ht="18" customHeight="1" s="294">
      <c r="A44" s="315" t="n"/>
      <c r="B44" s="315" t="n"/>
      <c r="C44" s="315" t="n"/>
      <c r="D44" s="315" t="n"/>
      <c r="E44" s="315" t="n"/>
      <c r="F44" s="315" t="n"/>
      <c r="G44" s="74" t="n"/>
      <c r="H44" s="94" t="n"/>
      <c r="I44" s="50" t="n"/>
      <c r="J44" s="99" t="n"/>
      <c r="K44" s="315" t="n"/>
      <c r="L44" s="315" t="n"/>
      <c r="M44" s="315" t="n"/>
      <c r="N44" s="315" t="n"/>
      <c r="O44" s="315" t="n"/>
      <c r="P44" s="315" t="n"/>
      <c r="Q44" s="315" t="n"/>
      <c r="R44" s="315" t="n"/>
      <c r="S44" s="315" t="n"/>
      <c r="T44" s="315" t="n"/>
      <c r="U44" s="315" t="n"/>
      <c r="V44" s="315" t="n"/>
      <c r="W44" s="315" t="n"/>
      <c r="X44" s="315" t="n"/>
      <c r="Y44" s="315" t="n"/>
      <c r="Z44" s="315" t="n"/>
      <c r="AA44" s="315" t="n"/>
      <c r="AB44" s="315" t="n"/>
      <c r="AC44" s="315" t="n"/>
      <c r="AD44" s="315" t="n"/>
    </row>
    <row r="45" ht="18" customHeight="1" s="294">
      <c r="A45" s="316" t="n"/>
      <c r="B45" s="316" t="n"/>
      <c r="C45" s="316" t="n"/>
      <c r="D45" s="316" t="n"/>
      <c r="E45" s="316" t="n"/>
      <c r="F45" s="315" t="n"/>
      <c r="G45" s="74" t="n"/>
      <c r="H45" s="94" t="n"/>
      <c r="I45" s="50" t="n"/>
      <c r="J45" s="99" t="n"/>
      <c r="K45" s="316" t="n"/>
      <c r="L45" s="316" t="n"/>
      <c r="M45" s="316" t="n"/>
      <c r="N45" s="316" t="n"/>
      <c r="O45" s="316" t="n"/>
      <c r="P45" s="316" t="n"/>
      <c r="Q45" s="316" t="n"/>
      <c r="R45" s="316" t="n"/>
      <c r="S45" s="316" t="n"/>
      <c r="T45" s="316" t="n"/>
      <c r="U45" s="316" t="n"/>
      <c r="V45" s="316" t="n"/>
      <c r="W45" s="316" t="n"/>
      <c r="X45" s="316" t="n"/>
      <c r="Y45" s="316" t="n"/>
      <c r="Z45" s="316" t="n"/>
      <c r="AA45" s="316" t="n"/>
      <c r="AB45" s="316" t="n"/>
      <c r="AC45" s="316" t="n"/>
      <c r="AD45" s="316" t="n"/>
    </row>
    <row r="46" ht="18" customHeight="1" s="294">
      <c r="A46" s="50" t="n"/>
      <c r="B46" s="50" t="n"/>
      <c r="C46" s="50" t="n"/>
      <c r="D46" s="50" t="n"/>
      <c r="E46" s="50" t="n"/>
      <c r="F46" s="315" t="n"/>
      <c r="G46" s="74" t="n"/>
      <c r="H46" s="94" t="n"/>
      <c r="I46" s="50" t="n"/>
      <c r="J46" s="348" t="n"/>
      <c r="K46" s="50" t="n"/>
      <c r="L46" s="50" t="n"/>
      <c r="M46" s="90" t="n"/>
      <c r="N46" s="90" t="n"/>
      <c r="O46" s="90" t="n"/>
      <c r="P46" s="90" t="n"/>
      <c r="Q46" s="90" t="n"/>
      <c r="R46" s="90" t="n"/>
      <c r="S46" s="90" t="n"/>
      <c r="T46" s="90" t="n"/>
      <c r="U46" s="90" t="n"/>
      <c r="V46" s="90" t="n"/>
      <c r="W46" s="90" t="n"/>
      <c r="X46" s="98" t="n"/>
      <c r="Y46" s="90" t="n"/>
      <c r="Z46" s="50" t="n"/>
      <c r="AA46" s="50" t="n"/>
      <c r="AB46" s="50" t="n"/>
      <c r="AC46" s="50" t="n"/>
      <c r="AD46" s="50" t="n"/>
    </row>
    <row r="47" ht="18" customHeight="1" s="294">
      <c r="A47" s="315" t="n"/>
      <c r="B47" s="315" t="n"/>
      <c r="C47" s="315" t="n"/>
      <c r="D47" s="315" t="n"/>
      <c r="E47" s="315" t="n"/>
      <c r="F47" s="315" t="n"/>
      <c r="G47" s="74" t="n"/>
      <c r="H47" s="94" t="n"/>
      <c r="I47" s="50" t="n"/>
      <c r="J47" s="348" t="n"/>
      <c r="K47" s="315" t="n"/>
      <c r="L47" s="315" t="n"/>
      <c r="M47" s="315" t="n"/>
      <c r="N47" s="315" t="n"/>
      <c r="O47" s="315" t="n"/>
      <c r="P47" s="315" t="n"/>
      <c r="Q47" s="315" t="n"/>
      <c r="R47" s="315" t="n"/>
      <c r="S47" s="315" t="n"/>
      <c r="T47" s="315" t="n"/>
      <c r="U47" s="315" t="n"/>
      <c r="V47" s="315" t="n"/>
      <c r="W47" s="315" t="n"/>
      <c r="X47" s="315" t="n"/>
      <c r="Y47" s="315" t="n"/>
      <c r="Z47" s="315" t="n"/>
      <c r="AA47" s="315" t="n"/>
      <c r="AB47" s="315" t="n"/>
      <c r="AC47" s="315" t="n"/>
      <c r="AD47" s="315" t="n"/>
    </row>
    <row r="48" ht="18" customHeight="1" s="294">
      <c r="A48" s="316" t="n"/>
      <c r="B48" s="316" t="n"/>
      <c r="C48" s="316" t="n"/>
      <c r="D48" s="316" t="n"/>
      <c r="E48" s="316" t="n"/>
      <c r="F48" s="316" t="n"/>
      <c r="G48" s="74" t="n"/>
      <c r="H48" s="94" t="n"/>
      <c r="I48" s="50" t="n"/>
      <c r="J48" s="348" t="n"/>
      <c r="K48" s="316" t="n"/>
      <c r="L48" s="316" t="n"/>
      <c r="M48" s="316" t="n"/>
      <c r="N48" s="316" t="n"/>
      <c r="O48" s="316" t="n"/>
      <c r="P48" s="316" t="n"/>
      <c r="Q48" s="316" t="n"/>
      <c r="R48" s="316" t="n"/>
      <c r="S48" s="316" t="n"/>
      <c r="T48" s="316" t="n"/>
      <c r="U48" s="316" t="n"/>
      <c r="V48" s="316" t="n"/>
      <c r="W48" s="316" t="n"/>
      <c r="X48" s="316" t="n"/>
      <c r="Y48" s="316" t="n"/>
      <c r="Z48" s="316" t="n"/>
      <c r="AA48" s="316" t="n"/>
      <c r="AB48" s="316" t="n"/>
      <c r="AC48" s="316" t="n"/>
      <c r="AD48" s="316" t="n"/>
    </row>
    <row r="49" ht="18" customFormat="1" customHeight="1" s="23">
      <c r="A49" s="349" t="n"/>
      <c r="B49" s="305" t="n"/>
      <c r="C49" s="305" t="n"/>
      <c r="D49" s="305" t="n"/>
      <c r="E49" s="305" t="n"/>
      <c r="F49" s="305" t="n"/>
      <c r="G49" s="305" t="n"/>
      <c r="H49" s="305" t="n"/>
      <c r="I49" s="305" t="n"/>
      <c r="J49" s="305" t="n"/>
      <c r="K49" s="305" t="n"/>
      <c r="L49" s="305" t="n"/>
      <c r="M49" s="305" t="n"/>
      <c r="N49" s="305" t="n"/>
      <c r="O49" s="305" t="n"/>
      <c r="P49" s="305" t="n"/>
      <c r="Q49" s="305" t="n"/>
      <c r="R49" s="305" t="n"/>
      <c r="S49" s="305" t="n"/>
      <c r="T49" s="305" t="n"/>
      <c r="U49" s="305" t="n"/>
      <c r="V49" s="305" t="n"/>
      <c r="W49" s="305" t="n"/>
      <c r="X49" s="305" t="n"/>
      <c r="Y49" s="305" t="n"/>
      <c r="Z49" s="305" t="n"/>
      <c r="AA49" s="305" t="n"/>
      <c r="AB49" s="305" t="n"/>
      <c r="AC49" s="305" t="n"/>
      <c r="AD49" s="306" t="n"/>
    </row>
    <row r="52" ht="25.8" customHeight="1" s="294">
      <c r="A52" s="111" t="inlineStr">
        <is>
          <t>附表：RoHS排除管制对象项次</t>
        </is>
      </c>
      <c r="B52" s="305" t="n"/>
      <c r="C52" s="305" t="n"/>
      <c r="D52" s="305" t="n"/>
      <c r="E52" s="305" t="n"/>
      <c r="F52" s="305" t="n"/>
      <c r="G52" s="305" t="n"/>
      <c r="H52" s="305" t="n"/>
      <c r="I52" s="305" t="n"/>
      <c r="J52" s="305" t="n"/>
      <c r="K52" s="305" t="n"/>
      <c r="L52" s="305" t="n"/>
      <c r="M52" s="306" t="n"/>
    </row>
    <row r="53" ht="20.1" customHeight="1" s="294">
      <c r="A53" s="50" t="inlineStr">
        <is>
          <t>项次</t>
        </is>
      </c>
      <c r="B53" s="66" t="inlineStr">
        <is>
          <t>依据选项说明填入项次1,2,3…等，详如下列说明</t>
        </is>
      </c>
      <c r="C53" s="305" t="n"/>
      <c r="D53" s="305" t="n"/>
      <c r="E53" s="305" t="n"/>
      <c r="F53" s="305" t="n"/>
      <c r="G53" s="305" t="n"/>
      <c r="H53" s="305" t="n"/>
      <c r="I53" s="305" t="n"/>
      <c r="J53" s="305" t="n"/>
      <c r="K53" s="305" t="n"/>
      <c r="L53" s="305" t="n"/>
      <c r="M53" s="306" t="n"/>
    </row>
    <row r="54" ht="20.1" customHeight="1" s="294">
      <c r="A54" s="50" t="n">
        <v>1</v>
      </c>
      <c r="B54" s="66" t="inlineStr">
        <is>
          <t>每支小型荧光灯管中的含汞量小于5mg</t>
        </is>
      </c>
      <c r="C54" s="305" t="n"/>
      <c r="D54" s="305" t="n"/>
      <c r="E54" s="305" t="n"/>
      <c r="F54" s="305" t="n"/>
      <c r="G54" s="305" t="n"/>
      <c r="H54" s="305" t="n"/>
      <c r="I54" s="305" t="n"/>
      <c r="J54" s="305" t="n"/>
      <c r="K54" s="305" t="n"/>
      <c r="L54" s="305" t="n"/>
      <c r="M54" s="306" t="n"/>
    </row>
    <row r="55" ht="20.1" customHeight="1" s="294">
      <c r="A55" s="50" t="n">
        <v>2</v>
      </c>
      <c r="B55" s="66" t="inlineStr">
        <is>
          <t>一般用途直管荧光灯管的含汞量小于：</t>
        </is>
      </c>
      <c r="C55" s="305" t="n"/>
      <c r="D55" s="305" t="n"/>
      <c r="E55" s="305" t="n"/>
      <c r="F55" s="305" t="n"/>
      <c r="G55" s="305" t="n"/>
      <c r="H55" s="305" t="n"/>
      <c r="I55" s="305" t="n"/>
      <c r="J55" s="305" t="n"/>
      <c r="K55" s="305" t="n"/>
      <c r="L55" s="305" t="n"/>
      <c r="M55" s="306" t="n"/>
    </row>
    <row r="56" ht="20.1" customHeight="1" s="294">
      <c r="A56" s="315" t="n"/>
      <c r="B56" s="66" t="inlineStr">
        <is>
          <t>卤素磷酸盐           10 mg</t>
        </is>
      </c>
      <c r="C56" s="305" t="n"/>
      <c r="D56" s="305" t="n"/>
      <c r="E56" s="305" t="n"/>
      <c r="F56" s="305" t="n"/>
      <c r="G56" s="305" t="n"/>
      <c r="H56" s="305" t="n"/>
      <c r="I56" s="305" t="n"/>
      <c r="J56" s="305" t="n"/>
      <c r="K56" s="305" t="n"/>
      <c r="L56" s="305" t="n"/>
      <c r="M56" s="306" t="n"/>
    </row>
    <row r="57" ht="20.1" customHeight="1" s="294">
      <c r="A57" s="315" t="n"/>
      <c r="B57" s="66" t="inlineStr">
        <is>
          <t>正常寿命的三磷酸盐    5 mg</t>
        </is>
      </c>
      <c r="C57" s="305" t="n"/>
      <c r="D57" s="305" t="n"/>
      <c r="E57" s="305" t="n"/>
      <c r="F57" s="305" t="n"/>
      <c r="G57" s="305" t="n"/>
      <c r="H57" s="305" t="n"/>
      <c r="I57" s="305" t="n"/>
      <c r="J57" s="305" t="n"/>
      <c r="K57" s="305" t="n"/>
      <c r="L57" s="305" t="n"/>
      <c r="M57" s="306" t="n"/>
    </row>
    <row r="58" ht="20.1" customHeight="1" s="294">
      <c r="A58" s="316" t="n"/>
      <c r="B58" s="66" t="inlineStr">
        <is>
          <t>长效寿命的三磷酸盐    8 mg</t>
        </is>
      </c>
      <c r="C58" s="305" t="n"/>
      <c r="D58" s="305" t="n"/>
      <c r="E58" s="305" t="n"/>
      <c r="F58" s="305" t="n"/>
      <c r="G58" s="305" t="n"/>
      <c r="H58" s="305" t="n"/>
      <c r="I58" s="305" t="n"/>
      <c r="J58" s="305" t="n"/>
      <c r="K58" s="305" t="n"/>
      <c r="L58" s="305" t="n"/>
      <c r="M58" s="306" t="n"/>
    </row>
    <row r="59" ht="20.1" customHeight="1" s="294">
      <c r="A59" s="50" t="n">
        <v>3</v>
      </c>
      <c r="B59" s="66" t="inlineStr">
        <is>
          <t>特殊用途之直管荧光灯管的含汞量未受限</t>
        </is>
      </c>
      <c r="C59" s="305" t="n"/>
      <c r="D59" s="305" t="n"/>
      <c r="E59" s="305" t="n"/>
      <c r="F59" s="305" t="n"/>
      <c r="G59" s="305" t="n"/>
      <c r="H59" s="305" t="n"/>
      <c r="I59" s="305" t="n"/>
      <c r="J59" s="305" t="n"/>
      <c r="K59" s="305" t="n"/>
      <c r="L59" s="305" t="n"/>
      <c r="M59" s="306" t="n"/>
    </row>
    <row r="60" ht="20.1" customHeight="1" s="294">
      <c r="A60" s="50" t="n">
        <v>4</v>
      </c>
      <c r="B60" s="66" t="inlineStr">
        <is>
          <t>其他灯管中含汞量未受限(如投影强光灯和发光二极管)</t>
        </is>
      </c>
      <c r="C60" s="305" t="n"/>
      <c r="D60" s="305" t="n"/>
      <c r="E60" s="305" t="n"/>
      <c r="F60" s="305" t="n"/>
      <c r="G60" s="305" t="n"/>
      <c r="H60" s="305" t="n"/>
      <c r="I60" s="305" t="n"/>
      <c r="J60" s="305" t="n"/>
      <c r="K60" s="305" t="n"/>
      <c r="L60" s="305" t="n"/>
      <c r="M60" s="306" t="n"/>
    </row>
    <row r="61" ht="20.1" customHeight="1" s="294">
      <c r="A61" s="50" t="n">
        <v>5.1</v>
      </c>
      <c r="B61" s="66" t="inlineStr">
        <is>
          <t>钢合金中的含铅量小于0.35 wt% (3500 ppm)</t>
        </is>
      </c>
      <c r="C61" s="305" t="n"/>
      <c r="D61" s="305" t="n"/>
      <c r="E61" s="305" t="n"/>
      <c r="F61" s="305" t="n"/>
      <c r="G61" s="305" t="n"/>
      <c r="H61" s="305" t="n"/>
      <c r="I61" s="305" t="n"/>
      <c r="J61" s="305" t="n"/>
      <c r="K61" s="305" t="n"/>
      <c r="L61" s="305" t="n"/>
      <c r="M61" s="306" t="n"/>
    </row>
    <row r="62" ht="20.1" customHeight="1" s="294">
      <c r="A62" s="50" t="n">
        <v>5.2</v>
      </c>
      <c r="B62" s="66" t="inlineStr">
        <is>
          <t>铝合金中的含铅量小于0.4 wt% (4000 ppm)</t>
        </is>
      </c>
      <c r="C62" s="305" t="n"/>
      <c r="D62" s="305" t="n"/>
      <c r="E62" s="305" t="n"/>
      <c r="F62" s="305" t="n"/>
      <c r="G62" s="305" t="n"/>
      <c r="H62" s="305" t="n"/>
      <c r="I62" s="305" t="n"/>
      <c r="J62" s="305" t="n"/>
      <c r="K62" s="305" t="n"/>
      <c r="L62" s="305" t="n"/>
      <c r="M62" s="306" t="n"/>
    </row>
    <row r="63" ht="20.1" customHeight="1" s="294">
      <c r="A63" s="50" t="n">
        <v>5.3</v>
      </c>
      <c r="B63" s="66" t="inlineStr">
        <is>
          <t>铜合金中的含铅量小于4 wt% (40000 ppm)</t>
        </is>
      </c>
      <c r="C63" s="305" t="n"/>
      <c r="D63" s="305" t="n"/>
      <c r="E63" s="305" t="n"/>
      <c r="F63" s="305" t="n"/>
      <c r="G63" s="305" t="n"/>
      <c r="H63" s="305" t="n"/>
      <c r="I63" s="305" t="n"/>
      <c r="J63" s="305" t="n"/>
      <c r="K63" s="305" t="n"/>
      <c r="L63" s="305" t="n"/>
      <c r="M63" s="306" t="n"/>
    </row>
    <row r="64" ht="20.1" customHeight="1" s="294">
      <c r="A64" s="50" t="n">
        <v>6</v>
      </c>
      <c r="B64" s="66" t="inlineStr">
        <is>
          <t>高熔点型态之焊料中的含铅量(即含有超过85 %铅之锡铅焊料合金)未设限</t>
        </is>
      </c>
      <c r="C64" s="305" t="n"/>
      <c r="D64" s="305" t="n"/>
      <c r="E64" s="305" t="n"/>
      <c r="F64" s="305" t="n"/>
      <c r="G64" s="305" t="n"/>
      <c r="H64" s="305" t="n"/>
      <c r="I64" s="305" t="n"/>
      <c r="J64" s="305" t="n"/>
      <c r="K64" s="305" t="n"/>
      <c r="L64" s="305" t="n"/>
      <c r="M64" s="306" t="n"/>
    </row>
    <row r="65" ht="20.1" customHeight="1" s="294">
      <c r="A65" s="50" t="n">
        <v>7</v>
      </c>
      <c r="B65" s="66" t="inlineStr">
        <is>
          <t>用于阴极射线管(CRT)、电子零件及荧光灯管中的玻璃所含的铅未受限</t>
        </is>
      </c>
      <c r="C65" s="305" t="n"/>
      <c r="D65" s="305" t="n"/>
      <c r="E65" s="305" t="n"/>
      <c r="F65" s="305" t="n"/>
      <c r="G65" s="305" t="n"/>
      <c r="H65" s="305" t="n"/>
      <c r="I65" s="305" t="n"/>
      <c r="J65" s="305" t="n"/>
      <c r="K65" s="305" t="n"/>
      <c r="L65" s="305" t="n"/>
      <c r="M65" s="306" t="n"/>
    </row>
    <row r="66" ht="20.1" customHeight="1" s="294">
      <c r="A66" s="50" t="n">
        <v>8</v>
      </c>
      <c r="B66" s="50" t="inlineStr">
        <is>
          <t>使用于服务器、储存器、储存组合系统、转换、发送信号和传输之网络架构设备与电话通讯管理网络所使用之焊料中的铅未设限</t>
        </is>
      </c>
      <c r="C66" s="305" t="n"/>
      <c r="D66" s="305" t="n"/>
      <c r="E66" s="305" t="n"/>
      <c r="F66" s="305" t="n"/>
      <c r="G66" s="305" t="n"/>
      <c r="H66" s="305" t="n"/>
      <c r="I66" s="305" t="n"/>
      <c r="J66" s="305" t="n"/>
      <c r="K66" s="305" t="n"/>
      <c r="L66" s="305" t="n"/>
      <c r="M66" s="306" t="n"/>
    </row>
    <row r="67" ht="20.1" customHeight="1" s="294">
      <c r="A67" s="50" t="n">
        <v>9</v>
      </c>
      <c r="B67" s="66" t="inlineStr">
        <is>
          <t>电子陶瓷零件中的的含铅量未设限(如高压电子装置)</t>
        </is>
      </c>
      <c r="C67" s="305" t="n"/>
      <c r="D67" s="305" t="n"/>
      <c r="E67" s="305" t="n"/>
      <c r="F67" s="305" t="n"/>
      <c r="G67" s="305" t="n"/>
      <c r="H67" s="305" t="n"/>
      <c r="I67" s="305" t="n"/>
      <c r="J67" s="305" t="n"/>
      <c r="K67" s="305" t="n"/>
      <c r="L67" s="305" t="n"/>
      <c r="M67" s="306" t="n"/>
    </row>
    <row r="68" ht="20.1" customHeight="1" s="294">
      <c r="A68" s="50" t="n">
        <v>10</v>
      </c>
      <c r="B68" s="66" t="inlineStr">
        <is>
          <t>铅使用于铅铜轴承壳(bearing-shell)及轴衬(bush)中</t>
        </is>
      </c>
      <c r="C68" s="305" t="n"/>
      <c r="D68" s="305" t="n"/>
      <c r="E68" s="305" t="n"/>
      <c r="F68" s="305" t="n"/>
      <c r="G68" s="305" t="n"/>
      <c r="H68" s="305" t="n"/>
      <c r="I68" s="305" t="n"/>
      <c r="J68" s="305" t="n"/>
      <c r="K68" s="305" t="n"/>
      <c r="L68" s="305" t="n"/>
      <c r="M68" s="306" t="n"/>
    </row>
    <row r="69" ht="20.1" customHeight="1" s="294">
      <c r="A69" s="50" t="n">
        <v>11</v>
      </c>
      <c r="B69" s="66" t="inlineStr">
        <is>
          <t>铅使用于销接系统</t>
        </is>
      </c>
      <c r="C69" s="305" t="n"/>
      <c r="D69" s="305" t="n"/>
      <c r="E69" s="305" t="n"/>
      <c r="F69" s="305" t="n"/>
      <c r="G69" s="305" t="n"/>
      <c r="H69" s="305" t="n"/>
      <c r="I69" s="305" t="n"/>
      <c r="J69" s="305" t="n"/>
      <c r="K69" s="305" t="n"/>
      <c r="L69" s="305" t="n"/>
      <c r="M69" s="306" t="n"/>
    </row>
    <row r="70" ht="20.1" customHeight="1" s="294">
      <c r="A70" s="50" t="n">
        <v>12</v>
      </c>
      <c r="B70" s="66" t="inlineStr">
        <is>
          <t>铅使用于导热模块中的c-ring的涂层</t>
        </is>
      </c>
      <c r="C70" s="305" t="n"/>
      <c r="D70" s="305" t="n"/>
      <c r="E70" s="305" t="n"/>
      <c r="F70" s="305" t="n"/>
      <c r="G70" s="305" t="n"/>
      <c r="H70" s="305" t="n"/>
      <c r="I70" s="305" t="n"/>
      <c r="J70" s="305" t="n"/>
      <c r="K70" s="305" t="n"/>
      <c r="L70" s="305" t="n"/>
      <c r="M70" s="306" t="n"/>
    </row>
    <row r="71" ht="20.1" customHeight="1" s="294">
      <c r="A71" s="50" t="n">
        <v>13</v>
      </c>
      <c r="B71" s="66" t="inlineStr">
        <is>
          <t>铅及镉使用于光学玻璃及滤镜</t>
        </is>
      </c>
      <c r="C71" s="305" t="n"/>
      <c r="D71" s="305" t="n"/>
      <c r="E71" s="305" t="n"/>
      <c r="F71" s="305" t="n"/>
      <c r="G71" s="305" t="n"/>
      <c r="H71" s="305" t="n"/>
      <c r="I71" s="305" t="n"/>
      <c r="J71" s="305" t="n"/>
      <c r="K71" s="305" t="n"/>
      <c r="L71" s="305" t="n"/>
      <c r="M71" s="306" t="n"/>
    </row>
    <row r="72" ht="20.1" customHeight="1" s="294">
      <c r="A72" s="50" t="n">
        <v>14</v>
      </c>
      <c r="B72" s="66" t="inlineStr">
        <is>
          <t>含铅之焊料使用于链接接脚与微处理器封装，此焊料由两个以上元素所组成且含铅量介于80~85%</t>
        </is>
      </c>
      <c r="C72" s="305" t="n"/>
      <c r="D72" s="305" t="n"/>
      <c r="E72" s="305" t="n"/>
      <c r="F72" s="305" t="n"/>
      <c r="G72" s="305" t="n"/>
      <c r="H72" s="305" t="n"/>
      <c r="I72" s="305" t="n"/>
      <c r="J72" s="305" t="n"/>
      <c r="K72" s="305" t="n"/>
      <c r="L72" s="305" t="n"/>
      <c r="M72" s="306" t="n"/>
    </row>
    <row r="73" ht="20.1" customHeight="1" s="294">
      <c r="A73" s="50" t="n">
        <v>15</v>
      </c>
      <c r="B73" s="66" t="inlineStr">
        <is>
          <t>含铅之焊料使用于集成电路覆晶封装内部；介于半导体芯片和载体间，来完成电力连结</t>
        </is>
      </c>
      <c r="C73" s="305" t="n"/>
      <c r="D73" s="305" t="n"/>
      <c r="E73" s="305" t="n"/>
      <c r="F73" s="305" t="n"/>
      <c r="G73" s="305" t="n"/>
      <c r="H73" s="305" t="n"/>
      <c r="I73" s="305" t="n"/>
      <c r="J73" s="305" t="n"/>
      <c r="K73" s="305" t="n"/>
      <c r="L73" s="305" t="n"/>
      <c r="M73" s="306" t="n"/>
    </row>
  </sheetData>
  <mergeCells count="261">
    <mergeCell ref="P17:P19"/>
    <mergeCell ref="U31:U32"/>
    <mergeCell ref="Z27:Z30"/>
    <mergeCell ref="Y46:Y48"/>
    <mergeCell ref="N17:N19"/>
    <mergeCell ref="Z17:Z19"/>
    <mergeCell ref="E23:E26"/>
    <mergeCell ref="M11:AA11"/>
    <mergeCell ref="B60:M60"/>
    <mergeCell ref="AB17:AB19"/>
    <mergeCell ref="R31:R32"/>
    <mergeCell ref="AA46:AA48"/>
    <mergeCell ref="X27:X30"/>
    <mergeCell ref="L41:L45"/>
    <mergeCell ref="C14:C30"/>
    <mergeCell ref="AB33:AB40"/>
    <mergeCell ref="M14:M16"/>
    <mergeCell ref="B53:M53"/>
    <mergeCell ref="E14:E19"/>
    <mergeCell ref="O14:O16"/>
    <mergeCell ref="V41:V45"/>
    <mergeCell ref="AC46:AC48"/>
    <mergeCell ref="X41:X45"/>
    <mergeCell ref="AD33:AD40"/>
    <mergeCell ref="A2:I2"/>
    <mergeCell ref="A11:F12"/>
    <mergeCell ref="M41:M45"/>
    <mergeCell ref="N20:N22"/>
    <mergeCell ref="Q23:Q26"/>
    <mergeCell ref="P20:P22"/>
    <mergeCell ref="P14:P16"/>
    <mergeCell ref="L33:L40"/>
    <mergeCell ref="R14:R16"/>
    <mergeCell ref="Y41:Y45"/>
    <mergeCell ref="AC23:AC26"/>
    <mergeCell ref="K27:K30"/>
    <mergeCell ref="N23:N26"/>
    <mergeCell ref="AB14:AB16"/>
    <mergeCell ref="M20:M22"/>
    <mergeCell ref="M27:M30"/>
    <mergeCell ref="J3:AD3"/>
    <mergeCell ref="P23:P26"/>
    <mergeCell ref="AD14:AD16"/>
    <mergeCell ref="W27:W30"/>
    <mergeCell ref="Y27:Y30"/>
    <mergeCell ref="T20:T22"/>
    <mergeCell ref="V20:V22"/>
    <mergeCell ref="AC41:AC45"/>
    <mergeCell ref="A10:AD10"/>
    <mergeCell ref="N46:N48"/>
    <mergeCell ref="O27:O30"/>
    <mergeCell ref="P46:P48"/>
    <mergeCell ref="C31:C40"/>
    <mergeCell ref="L31:L32"/>
    <mergeCell ref="Q27:Q30"/>
    <mergeCell ref="F14:F48"/>
    <mergeCell ref="B54:M54"/>
    <mergeCell ref="S17:S19"/>
    <mergeCell ref="X31:X32"/>
    <mergeCell ref="AC27:AC30"/>
    <mergeCell ref="B72:M72"/>
    <mergeCell ref="U17:U19"/>
    <mergeCell ref="I31:I32"/>
    <mergeCell ref="Z31:Z32"/>
    <mergeCell ref="W20:W22"/>
    <mergeCell ref="Y20:Y22"/>
    <mergeCell ref="S33:S40"/>
    <mergeCell ref="A49:AD49"/>
    <mergeCell ref="U33:U40"/>
    <mergeCell ref="B56:M56"/>
    <mergeCell ref="C46:C48"/>
    <mergeCell ref="O41:O45"/>
    <mergeCell ref="A1:AD1"/>
    <mergeCell ref="X23:X26"/>
    <mergeCell ref="I20:I22"/>
    <mergeCell ref="Q46:Q48"/>
    <mergeCell ref="B57:M57"/>
    <mergeCell ref="E33:E40"/>
    <mergeCell ref="R41:R45"/>
    <mergeCell ref="V23:V26"/>
    <mergeCell ref="T41:T45"/>
    <mergeCell ref="U14:U16"/>
    <mergeCell ref="W14:W16"/>
    <mergeCell ref="AD41:AD45"/>
    <mergeCell ref="P27:P30"/>
    <mergeCell ref="B31:B40"/>
    <mergeCell ref="S23:S26"/>
    <mergeCell ref="R27:R30"/>
    <mergeCell ref="G11:L12"/>
    <mergeCell ref="E31:E32"/>
    <mergeCell ref="AA14:AA16"/>
    <mergeCell ref="B68:M68"/>
    <mergeCell ref="B41:B45"/>
    <mergeCell ref="S46:S48"/>
    <mergeCell ref="O31:O32"/>
    <mergeCell ref="AF2:AF3"/>
    <mergeCell ref="V27:V30"/>
    <mergeCell ref="Q31:Q32"/>
    <mergeCell ref="M8:AD8"/>
    <mergeCell ref="Z12:AA12"/>
    <mergeCell ref="V17:V19"/>
    <mergeCell ref="A4:AD4"/>
    <mergeCell ref="X17:X19"/>
    <mergeCell ref="N31:N32"/>
    <mergeCell ref="J2:AD2"/>
    <mergeCell ref="N33:N40"/>
    <mergeCell ref="AB20:AB22"/>
    <mergeCell ref="AD20:AD22"/>
    <mergeCell ref="B46:B48"/>
    <mergeCell ref="X33:X40"/>
    <mergeCell ref="D46:D48"/>
    <mergeCell ref="A14:A30"/>
    <mergeCell ref="D9:E9"/>
    <mergeCell ref="Z33:Z40"/>
    <mergeCell ref="F9:G9"/>
    <mergeCell ref="T31:T32"/>
    <mergeCell ref="B62:M62"/>
    <mergeCell ref="D41:D45"/>
    <mergeCell ref="B59:M59"/>
    <mergeCell ref="M9:AD9"/>
    <mergeCell ref="M23:M26"/>
    <mergeCell ref="A41:A45"/>
    <mergeCell ref="K41:K45"/>
    <mergeCell ref="AB46:AB48"/>
    <mergeCell ref="C41:C45"/>
    <mergeCell ref="D14:D30"/>
    <mergeCell ref="L14:L16"/>
    <mergeCell ref="N14:N16"/>
    <mergeCell ref="U41:U45"/>
    <mergeCell ref="Y23:Y26"/>
    <mergeCell ref="W41:W45"/>
    <mergeCell ref="AA23:AA26"/>
    <mergeCell ref="AD46:AD48"/>
    <mergeCell ref="B70:M70"/>
    <mergeCell ref="I27:I30"/>
    <mergeCell ref="X14:X16"/>
    <mergeCell ref="Z14:Z16"/>
    <mergeCell ref="A6:AD6"/>
    <mergeCell ref="AD23:AD26"/>
    <mergeCell ref="S27:S30"/>
    <mergeCell ref="AA41:AA45"/>
    <mergeCell ref="A3:I3"/>
    <mergeCell ref="L46:L48"/>
    <mergeCell ref="K33:K40"/>
    <mergeCell ref="A31:A40"/>
    <mergeCell ref="B73:M73"/>
    <mergeCell ref="M17:M19"/>
    <mergeCell ref="AB31:AB32"/>
    <mergeCell ref="O17:O19"/>
    <mergeCell ref="W33:W40"/>
    <mergeCell ref="Q17:Q19"/>
    <mergeCell ref="S20:S22"/>
    <mergeCell ref="AA17:AA19"/>
    <mergeCell ref="Y31:Y32"/>
    <mergeCell ref="U20:U22"/>
    <mergeCell ref="AC17:AC19"/>
    <mergeCell ref="O33:O40"/>
    <mergeCell ref="Q33:Q40"/>
    <mergeCell ref="A55:A58"/>
    <mergeCell ref="K31:K32"/>
    <mergeCell ref="AA33:AA40"/>
    <mergeCell ref="B65:M65"/>
    <mergeCell ref="AC33:AC40"/>
    <mergeCell ref="A5:AD5"/>
    <mergeCell ref="F8:G8"/>
    <mergeCell ref="AB27:AB30"/>
    <mergeCell ref="W31:W32"/>
    <mergeCell ref="AD27:AD30"/>
    <mergeCell ref="L17:L19"/>
    <mergeCell ref="AD17:AD19"/>
    <mergeCell ref="I23:I26"/>
    <mergeCell ref="B63:M63"/>
    <mergeCell ref="K23:K26"/>
    <mergeCell ref="E20:E22"/>
    <mergeCell ref="U46:U48"/>
    <mergeCell ref="N41:N45"/>
    <mergeCell ref="B9:C9"/>
    <mergeCell ref="P41:P45"/>
    <mergeCell ref="AA31:AA32"/>
    <mergeCell ref="AC31:AC32"/>
    <mergeCell ref="Q14:Q16"/>
    <mergeCell ref="I14:I19"/>
    <mergeCell ref="U23:U26"/>
    <mergeCell ref="S14:S16"/>
    <mergeCell ref="K14:K19"/>
    <mergeCell ref="W23:W26"/>
    <mergeCell ref="Z41:Z45"/>
    <mergeCell ref="AB41:AB45"/>
    <mergeCell ref="O23:O26"/>
    <mergeCell ref="AB11:AD12"/>
    <mergeCell ref="N27:N30"/>
    <mergeCell ref="D31:D32"/>
    <mergeCell ref="D33:D40"/>
    <mergeCell ref="R20:R22"/>
    <mergeCell ref="M12:Y12"/>
    <mergeCell ref="O46:O48"/>
    <mergeCell ref="H8:L8"/>
    <mergeCell ref="P33:P40"/>
    <mergeCell ref="R33:R40"/>
    <mergeCell ref="R17:R19"/>
    <mergeCell ref="R23:R26"/>
    <mergeCell ref="L20:L22"/>
    <mergeCell ref="T17:T19"/>
    <mergeCell ref="B67:M67"/>
    <mergeCell ref="AA27:AA30"/>
    <mergeCell ref="B61:M61"/>
    <mergeCell ref="A7:AD7"/>
    <mergeCell ref="X20:X22"/>
    <mergeCell ref="AD31:AD32"/>
    <mergeCell ref="Z20:Z22"/>
    <mergeCell ref="T33:T40"/>
    <mergeCell ref="V33:V40"/>
    <mergeCell ref="R46:R48"/>
    <mergeCell ref="T46:T48"/>
    <mergeCell ref="A52:M52"/>
    <mergeCell ref="P31:P32"/>
    <mergeCell ref="B69:M69"/>
    <mergeCell ref="H9:L9"/>
    <mergeCell ref="U27:U30"/>
    <mergeCell ref="W17:W19"/>
    <mergeCell ref="M31:M32"/>
    <mergeCell ref="E41:E45"/>
    <mergeCell ref="V46:V48"/>
    <mergeCell ref="X46:X48"/>
    <mergeCell ref="Z46:Z48"/>
    <mergeCell ref="V31:V32"/>
    <mergeCell ref="Q41:Q45"/>
    <mergeCell ref="B14:B30"/>
    <mergeCell ref="B8:C8"/>
    <mergeCell ref="S41:S45"/>
    <mergeCell ref="T14:T16"/>
    <mergeCell ref="B55:M55"/>
    <mergeCell ref="E27:E30"/>
    <mergeCell ref="V14:V16"/>
    <mergeCell ref="B64:M64"/>
    <mergeCell ref="Z23:Z26"/>
    <mergeCell ref="AB23:AB26"/>
    <mergeCell ref="T23:T26"/>
    <mergeCell ref="K20:K22"/>
    <mergeCell ref="I33:I40"/>
    <mergeCell ref="L23:L30"/>
    <mergeCell ref="D8:E8"/>
    <mergeCell ref="Y14:Y16"/>
    <mergeCell ref="T27:T30"/>
    <mergeCell ref="O20:O22"/>
    <mergeCell ref="Q20:Q22"/>
    <mergeCell ref="Y17:Y19"/>
    <mergeCell ref="B71:M71"/>
    <mergeCell ref="B66:M66"/>
    <mergeCell ref="M33:M40"/>
    <mergeCell ref="AA20:AA22"/>
    <mergeCell ref="AC20:AC22"/>
    <mergeCell ref="A46:A48"/>
    <mergeCell ref="B58:M58"/>
    <mergeCell ref="AC14:AC16"/>
    <mergeCell ref="M46:M48"/>
    <mergeCell ref="K46:K48"/>
    <mergeCell ref="Y33:Y40"/>
    <mergeCell ref="E46:E48"/>
    <mergeCell ref="W46:W48"/>
    <mergeCell ref="S31:S32"/>
  </mergeCells>
  <hyperlinks>
    <hyperlink xmlns:r="http://schemas.openxmlformats.org/officeDocument/2006/relationships" ref="M9" display="='\\Desktop-dvuc8fu\承认书\客户\生久\承认书3.1版\[YY60030251（J00016081)承认书.xlsx]封面'!C33" r:id="rId1"/>
  </hyperlinks>
  <printOptions horizontalCentered="1"/>
  <pageMargins left="0.393700787401575" right="0.393700787401575" top="0.393700787401575" bottom="0.393700787401575" header="0.393700787401575" footer="0.393700787401575"/>
  <pageSetup orientation="landscape" paperSize="9" scale="47"/>
  <drawing xmlns:r="http://schemas.openxmlformats.org/officeDocument/2006/relationships" r:id="rId2"/>
</worksheet>
</file>

<file path=xl/worksheets/sheet11.xml><?xml version="1.0" encoding="utf-8"?>
<worksheet xmlns="http://schemas.openxmlformats.org/spreadsheetml/2006/main">
  <sheetPr codeName="Sheet9">
    <outlinePr summaryBelow="1" summaryRight="1"/>
    <pageSetUpPr/>
  </sheetPr>
  <dimension ref="A1:C24"/>
  <sheetViews>
    <sheetView topLeftCell="A10" zoomScale="85" zoomScaleNormal="85" workbookViewId="0">
      <selection activeCell="B19" sqref="B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材质证明书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12" t="n"/>
      <c r="C13" s="6" t="n"/>
    </row>
    <row r="14" ht="28.15" customHeight="1" s="294">
      <c r="A14" s="5" t="n"/>
      <c r="B14" s="12" t="n"/>
      <c r="C14" s="6" t="n"/>
    </row>
    <row r="15" ht="28.15" customHeight="1" s="294">
      <c r="A15" s="5" t="n"/>
      <c r="C15" s="6" t="n"/>
    </row>
    <row r="16" ht="28.15" customHeight="1" s="294">
      <c r="A16" s="5" t="n"/>
      <c r="C16" s="6" t="n"/>
    </row>
    <row r="17" ht="28.15" customHeight="1" s="294">
      <c r="A17" s="5" t="n"/>
      <c r="B17" s="12" t="n"/>
      <c r="C17" s="6" t="n"/>
    </row>
    <row r="18" ht="28.15" customHeight="1" s="294">
      <c r="A18" s="5" t="n"/>
      <c r="B18" s="13" t="n"/>
      <c r="C18" s="6" t="n"/>
    </row>
    <row r="19" ht="28.15" customHeight="1" s="294">
      <c r="A19" s="5" t="n"/>
      <c r="C19" s="6" t="n"/>
    </row>
    <row r="20" ht="28.15" customHeight="1" s="294">
      <c r="A20" s="5" t="n"/>
      <c r="B20" s="20" t="n"/>
      <c r="C20" s="6" t="n"/>
    </row>
    <row r="21" ht="28.15" customHeight="1" s="294">
      <c r="A21" s="5" t="n"/>
      <c r="C21" s="6" t="n"/>
    </row>
    <row r="22" ht="28.15" customHeight="1" s="294">
      <c r="A22" s="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2.xml><?xml version="1.0" encoding="utf-8"?>
<worksheet xmlns="http://schemas.openxmlformats.org/spreadsheetml/2006/main">
  <sheetPr codeName="Sheet10">
    <outlinePr summaryBelow="1" summaryRight="1"/>
    <pageSetUpPr/>
  </sheetPr>
  <dimension ref="A1:C24"/>
  <sheetViews>
    <sheetView zoomScale="85" zoomScaleNormal="85" workbookViewId="0">
      <selection activeCell="B18" sqref="B18"/>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UL证明书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4" t="inlineStr">
        <is>
          <t>线材             端子胶壳                   套管</t>
        </is>
      </c>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3.xml><?xml version="1.0" encoding="utf-8"?>
<worksheet xmlns="http://schemas.openxmlformats.org/spreadsheetml/2006/main">
  <sheetPr codeName="Sheet12">
    <outlinePr summaryBelow="1" summaryRight="1"/>
    <pageSetUpPr/>
  </sheetPr>
  <dimension ref="A1:C24"/>
  <sheetViews>
    <sheetView zoomScale="85" zoomScaleNormal="85" workbookViewId="0">
      <selection activeCell="N19" sqref="N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车规级增加资料</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4.xml><?xml version="1.0" encoding="utf-8"?>
<worksheet xmlns="http://schemas.openxmlformats.org/spreadsheetml/2006/main">
  <sheetPr codeName="Sheet1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供应商包装规范</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5.xml><?xml version="1.0" encoding="utf-8"?>
<worksheet xmlns="http://schemas.openxmlformats.org/spreadsheetml/2006/main">
  <sheetPr codeName="Sheet13">
    <outlinePr summaryBelow="1" summaryRight="1"/>
    <pageSetUpPr/>
  </sheetPr>
  <dimension ref="A1:C24"/>
  <sheetViews>
    <sheetView zoomScale="85" zoomScaleNormal="85" workbookViewId="0">
      <selection activeCell="I15" sqref="I15"/>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供应商出货报告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ygj</dc:creator>
  <dcterms:created xmlns:dcterms="http://purl.org/dc/terms/" xmlns:xsi="http://www.w3.org/2001/XMLSchema-instance" xsi:type="dcterms:W3CDTF">2007-05-17T02:03:00Z</dcterms:created>
  <dcterms:modified xmlns:dcterms="http://purl.org/dc/terms/" xmlns:xsi="http://www.w3.org/2001/XMLSchema-instance" xsi:type="dcterms:W3CDTF">2026-06-25T04:04:43Z</dcterms:modified>
  <cp:lastModifiedBy>Dean Xu</cp:lastModifiedBy>
  <cp:lastPrinted>2023-06-19T02:53:00Z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KSOReadingLayout" fmtid="{D5CDD505-2E9C-101B-9397-08002B2CF9AE}" pid="3">
    <vt:bool xmlns:vt="http://schemas.openxmlformats.org/officeDocument/2006/docPropsVTypes">1</vt:bool>
  </property>
  <property name="ICV" fmtid="{D5CDD505-2E9C-101B-9397-08002B2CF9AE}" pid="4">
    <vt:lpwstr xmlns:vt="http://schemas.openxmlformats.org/officeDocument/2006/docPropsVTypes">529E11D73DB0482A8C6E0A9E567DA0DF_13</vt:lpwstr>
  </property>
  <property name="CalculationRule" fmtid="{D5CDD505-2E9C-101B-9397-08002B2CF9AE}" pid="5">
    <vt:i4 xmlns:vt="http://schemas.openxmlformats.org/officeDocument/2006/docPropsVTypes">0</vt:i4>
  </property>
</Properties>
</file>